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1588" windowHeight="8772" activeTab="1"/>
  </bookViews>
  <sheets>
    <sheet name="USA" sheetId="1" r:id="rId1"/>
    <sheet name="Canada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E60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59" i="2"/>
  <c r="E58" i="2"/>
  <c r="E57" i="2"/>
  <c r="E56" i="2"/>
  <c r="E55" i="2"/>
  <c r="E54" i="2"/>
  <c r="E53" i="2"/>
  <c r="E52" i="2"/>
  <c r="E51" i="2"/>
  <c r="E50" i="2"/>
  <c r="E49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</calcChain>
</file>

<file path=xl/sharedStrings.xml><?xml version="1.0" encoding="utf-8"?>
<sst xmlns="http://schemas.openxmlformats.org/spreadsheetml/2006/main" count="409" uniqueCount="148">
  <si>
    <t>https://www.teamusa.org/USA-Racquetball/About/Record-Books/Singles-Champions/Open</t>
  </si>
  <si>
    <t>Jack</t>
  </si>
  <si>
    <t>Huczek</t>
  </si>
  <si>
    <t>Rocky</t>
  </si>
  <si>
    <t>Carson</t>
  </si>
  <si>
    <t>Mike</t>
  </si>
  <si>
    <t>Guidry</t>
  </si>
  <si>
    <t>Adam</t>
  </si>
  <si>
    <t>Karp</t>
  </si>
  <si>
    <t>Dan</t>
  </si>
  <si>
    <t>Obremski</t>
  </si>
  <si>
    <t>Ruben</t>
  </si>
  <si>
    <t>Gonzalez</t>
  </si>
  <si>
    <t>Michael</t>
  </si>
  <si>
    <t>Bronfeld</t>
  </si>
  <si>
    <t>John</t>
  </si>
  <si>
    <t>Ellis</t>
  </si>
  <si>
    <t>Chris</t>
  </si>
  <si>
    <t>Cole</t>
  </si>
  <si>
    <t>Tim</t>
  </si>
  <si>
    <t>Sweeney</t>
  </si>
  <si>
    <t>Doyle</t>
  </si>
  <si>
    <t>Andy</t>
  </si>
  <si>
    <t>Roberts</t>
  </si>
  <si>
    <t>Jim</t>
  </si>
  <si>
    <t>Cascio</t>
  </si>
  <si>
    <t>Ed</t>
  </si>
  <si>
    <t>Andrews</t>
  </si>
  <si>
    <t>Ferris</t>
  </si>
  <si>
    <t>Newman</t>
  </si>
  <si>
    <t>Egerman</t>
  </si>
  <si>
    <t>Lindsey</t>
  </si>
  <si>
    <t>Meyers</t>
  </si>
  <si>
    <t>Jerry</t>
  </si>
  <si>
    <t>Zukerman</t>
  </si>
  <si>
    <t>Joe</t>
  </si>
  <si>
    <t>Wirkus</t>
  </si>
  <si>
    <t>Wayne</t>
  </si>
  <si>
    <t>Bowes</t>
  </si>
  <si>
    <t>Bill</t>
  </si>
  <si>
    <t>Schmidke</t>
  </si>
  <si>
    <t>Charles</t>
  </si>
  <si>
    <t>Brumfield</t>
  </si>
  <si>
    <t>Craig</t>
  </si>
  <si>
    <t>Finger</t>
  </si>
  <si>
    <t>Bud</t>
  </si>
  <si>
    <t>Muehleisen</t>
  </si>
  <si>
    <t>Schultz</t>
  </si>
  <si>
    <t>Cheryl</t>
  </si>
  <si>
    <t>Gudinas</t>
  </si>
  <si>
    <t>Rhonda</t>
  </si>
  <si>
    <t>Rajsich</t>
  </si>
  <si>
    <t>Robin</t>
  </si>
  <si>
    <t>Levine</t>
  </si>
  <si>
    <t>Michelle</t>
  </si>
  <si>
    <t>Gould</t>
  </si>
  <si>
    <t>Gilman</t>
  </si>
  <si>
    <t>Toni</t>
  </si>
  <si>
    <t>Bevelock</t>
  </si>
  <si>
    <t>Diane</t>
  </si>
  <si>
    <t>Green</t>
  </si>
  <si>
    <t>Cindy</t>
  </si>
  <si>
    <t>Baxter</t>
  </si>
  <si>
    <t>Marci</t>
  </si>
  <si>
    <t>Drexler</t>
  </si>
  <si>
    <t>Bullard</t>
  </si>
  <si>
    <t>Carol</t>
  </si>
  <si>
    <t>Frenck</t>
  </si>
  <si>
    <t>Sheryl</t>
  </si>
  <si>
    <t>Ambler</t>
  </si>
  <si>
    <t>Hope</t>
  </si>
  <si>
    <t>Weisbach</t>
  </si>
  <si>
    <t>Karin</t>
  </si>
  <si>
    <t>Walton</t>
  </si>
  <si>
    <t>Sarah</t>
  </si>
  <si>
    <t>Peggy</t>
  </si>
  <si>
    <t>Steding</t>
  </si>
  <si>
    <t>Jan</t>
  </si>
  <si>
    <t>Pasternak</t>
  </si>
  <si>
    <t>Fran</t>
  </si>
  <si>
    <t>Cohen</t>
  </si>
  <si>
    <t>Brossard, PQ</t>
  </si>
  <si>
    <t>Burlington, Ont.</t>
  </si>
  <si>
    <t>Burnaby, B.C.</t>
  </si>
  <si>
    <t>Brossard, Que</t>
  </si>
  <si>
    <t>Langley, B.C.</t>
  </si>
  <si>
    <t>Brossard, Quebec</t>
  </si>
  <si>
    <t>Antigonish &amp; Port Hawkesbury, NS</t>
  </si>
  <si>
    <t>Burnaby, BC</t>
  </si>
  <si>
    <t>Edmonton</t>
  </si>
  <si>
    <t>Burlington</t>
  </si>
  <si>
    <t>Regina</t>
  </si>
  <si>
    <t>Burlington, ON</t>
  </si>
  <si>
    <t>Vancouver</t>
  </si>
  <si>
    <t>Oakville &amp; Burlington, ON</t>
  </si>
  <si>
    <t>Winnipeg</t>
  </si>
  <si>
    <t>Montreal</t>
  </si>
  <si>
    <t>Toronto</t>
  </si>
  <si>
    <t>Windsor, ON</t>
  </si>
  <si>
    <t>Victoria</t>
  </si>
  <si>
    <t>Etobicoke, ON</t>
  </si>
  <si>
    <t>Kelowna, BC</t>
  </si>
  <si>
    <t>Québec City</t>
  </si>
  <si>
    <t>Lethbridge, AB</t>
  </si>
  <si>
    <t>Halifax</t>
  </si>
  <si>
    <t>?</t>
  </si>
  <si>
    <t>Coby</t>
  </si>
  <si>
    <t>Iwaasa</t>
  </si>
  <si>
    <t>Vincent</t>
  </si>
  <si>
    <t>Gagnon</t>
  </si>
  <si>
    <t>Kris</t>
  </si>
  <si>
    <t>Odegard</t>
  </si>
  <si>
    <t>Corey</t>
  </si>
  <si>
    <t>Osborne</t>
  </si>
  <si>
    <t>Kane</t>
  </si>
  <si>
    <t>Waselenchuk</t>
  </si>
  <si>
    <t>Sherman</t>
  </si>
  <si>
    <t>Greenfeld</t>
  </si>
  <si>
    <t>Ceresia</t>
  </si>
  <si>
    <t>Sheman</t>
  </si>
  <si>
    <t>Roger</t>
  </si>
  <si>
    <t>Harripersad</t>
  </si>
  <si>
    <t>Lindsay</t>
  </si>
  <si>
    <t>Myers</t>
  </si>
  <si>
    <t>Brian</t>
  </si>
  <si>
    <t>Valin</t>
  </si>
  <si>
    <t>Frédérique</t>
  </si>
  <si>
    <t>Lambert</t>
  </si>
  <si>
    <t>Saunders</t>
  </si>
  <si>
    <t>Jennifer</t>
  </si>
  <si>
    <t>Christie</t>
  </si>
  <si>
    <t>Powell</t>
  </si>
  <si>
    <t>Josée</t>
  </si>
  <si>
    <t>Grand'Maître</t>
  </si>
  <si>
    <t>McFetridge</t>
  </si>
  <si>
    <t>Heather</t>
  </si>
  <si>
    <t>Stupp</t>
  </si>
  <si>
    <t>Crystal</t>
  </si>
  <si>
    <t>Fried</t>
  </si>
  <si>
    <t>McKay</t>
  </si>
  <si>
    <t>Linda</t>
  </si>
  <si>
    <t>Forcade</t>
  </si>
  <si>
    <t>Monique</t>
  </si>
  <si>
    <t>Parent</t>
  </si>
  <si>
    <t>Van Hees</t>
  </si>
  <si>
    <t>Lori-Jane</t>
  </si>
  <si>
    <t>source: http://www.racquetball.ca/articles.asp?articleID=1835&amp;zoneID=299</t>
  </si>
  <si>
    <t>however, there's discrepancies as compared to archive.org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</si>
</sst>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4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7"/>
  <sheetViews>
    <sheetView workbookViewId="0"/>
  </sheetViews>
  <sheetFormatPr defaultRowHeight="14.4" x14ac:dyDescent="0.3"/>
  <cols>
    <col min="1" max="1" width="8.88671875" customWidth="1"/>
    <col min="2" max="2" width="21.44140625" bestFit="1" customWidth="1"/>
    <col min="3" max="3" width="25.88671875" bestFit="1" customWidth="1"/>
  </cols>
  <sheetData>
    <row r="1" spans="1:4" x14ac:dyDescent="0.3">
      <c r="A1" t="s">
        <v>0</v>
      </c>
    </row>
    <row r="3" spans="1:4" x14ac:dyDescent="0.3">
      <c r="A3">
        <v>2005</v>
      </c>
      <c r="B3" t="s">
        <v>1</v>
      </c>
      <c r="C3" t="s">
        <v>2</v>
      </c>
      <c r="D3" t="str">
        <f>CONCATENATE("INSERT INTO results (winner,loser,round,score,tour,city,event,date,source,season,tmp_date) VALUES ('",C3,", ",B3,"','?',2,'','USA Mens Open','Houston, TX','",A3," USA Racquetball National Singles Championships - Mens Open','5/31/",A3,"','https://www.teamusa.org/USA-Racquetball/About/Record-Books/Singles-Champions/Open','",A3,"','",A3,"-05-31');")</f>
        <v>INSERT INTO results (winner,loser,round,score,tour,city,event,date,source,season,tmp_date) VALUES ('Huczek, Jack','?',2,'','USA Mens Open','Houston, TX','2005 USA Racquetball National Singles Championships - Mens Open','5/31/2005','https://www.teamusa.org/USA-Racquetball/About/Record-Books/Singles-Champions/Open','2005','2005-05-31');</v>
      </c>
    </row>
    <row r="4" spans="1:4" x14ac:dyDescent="0.3">
      <c r="A4">
        <v>2004</v>
      </c>
      <c r="B4" t="s">
        <v>1</v>
      </c>
      <c r="C4" t="s">
        <v>2</v>
      </c>
      <c r="D4" t="str">
        <f t="shared" ref="D4:D40" si="0">CONCATENATE("INSERT INTO results (winner,loser,round,score,tour,city,event,date,source,season,tmp_date) VALUES ('",C4,", ",B4,"','?',2,'','USA Mens Open','Houston, TX','",A4," USA Racquetball National Singles Championships - Mens Open','5/31/",A4,"','https://www.teamusa.org/USA-Racquetball/About/Record-Books/Singles-Champions/Open','",A4,"','",A4,"-05-31');")</f>
        <v>INSERT INTO results (winner,loser,round,score,tour,city,event,date,source,season,tmp_date) VALUES ('Huczek, Jack','?',2,'','USA Mens Open','Houston, TX','2004 USA Racquetball National Singles Championships - Mens Open','5/31/2004','https://www.teamusa.org/USA-Racquetball/About/Record-Books/Singles-Champions/Open','2004','2004-05-31');</v>
      </c>
    </row>
    <row r="5" spans="1:4" x14ac:dyDescent="0.3">
      <c r="A5">
        <v>2003</v>
      </c>
      <c r="B5" t="s">
        <v>3</v>
      </c>
      <c r="C5" t="s">
        <v>4</v>
      </c>
      <c r="D5" t="str">
        <f t="shared" si="0"/>
        <v>INSERT INTO results (winner,loser,round,score,tour,city,event,date,source,season,tmp_date) VALUES ('Carson, Rocky','?',2,'','USA Mens Open','Houston, TX','2003 USA Racquetball National Singles Championships - Mens Open','5/31/2003','https://www.teamusa.org/USA-Racquetball/About/Record-Books/Singles-Champions/Open','2003','2003-05-31');</v>
      </c>
    </row>
    <row r="6" spans="1:4" x14ac:dyDescent="0.3">
      <c r="A6">
        <v>2002</v>
      </c>
      <c r="B6" t="s">
        <v>5</v>
      </c>
      <c r="C6" t="s">
        <v>6</v>
      </c>
      <c r="D6" t="str">
        <f t="shared" si="0"/>
        <v>INSERT INTO results (winner,loser,round,score,tour,city,event,date,source,season,tmp_date) VALUES ('Guidry, Mike','?',2,'','USA Mens Open','Houston, TX','2002 USA Racquetball National Singles Championships - Mens Open','5/31/2002','https://www.teamusa.org/USA-Racquetball/About/Record-Books/Singles-Champions/Open','2002','2002-05-31');</v>
      </c>
    </row>
    <row r="7" spans="1:4" x14ac:dyDescent="0.3">
      <c r="A7">
        <v>2001</v>
      </c>
      <c r="B7" t="s">
        <v>1</v>
      </c>
      <c r="C7" t="s">
        <v>2</v>
      </c>
      <c r="D7" t="str">
        <f t="shared" si="0"/>
        <v>INSERT INTO results (winner,loser,round,score,tour,city,event,date,source,season,tmp_date) VALUES ('Huczek, Jack','?',2,'','USA Mens Open','Houston, TX','2001 USA Racquetball National Singles Championships - Mens Open','5/31/2001','https://www.teamusa.org/USA-Racquetball/About/Record-Books/Singles-Champions/Open','2001','2001-05-31');</v>
      </c>
    </row>
    <row r="8" spans="1:4" x14ac:dyDescent="0.3">
      <c r="A8">
        <v>2000</v>
      </c>
      <c r="B8" t="s">
        <v>3</v>
      </c>
      <c r="C8" t="s">
        <v>4</v>
      </c>
      <c r="D8" t="str">
        <f t="shared" si="0"/>
        <v>INSERT INTO results (winner,loser,round,score,tour,city,event,date,source,season,tmp_date) VALUES ('Carson, Rocky','?',2,'','USA Mens Open','Houston, TX','2000 USA Racquetball National Singles Championships - Mens Open','5/31/2000','https://www.teamusa.org/USA-Racquetball/About/Record-Books/Singles-Champions/Open','2000','2000-05-31');</v>
      </c>
    </row>
    <row r="9" spans="1:4" x14ac:dyDescent="0.3">
      <c r="A9">
        <v>1999</v>
      </c>
      <c r="B9" t="s">
        <v>7</v>
      </c>
      <c r="C9" t="s">
        <v>8</v>
      </c>
      <c r="D9" t="str">
        <f t="shared" si="0"/>
        <v>INSERT INTO results (winner,loser,round,score,tour,city,event,date,source,season,tmp_date) VALUES ('Karp, Adam','?',2,'','USA Mens Open','Houston, TX','1999 USA Racquetball National Singles Championships - Mens Open','5/31/1999','https://www.teamusa.org/USA-Racquetball/About/Record-Books/Singles-Champions/Open','1999','1999-05-31');</v>
      </c>
    </row>
    <row r="10" spans="1:4" x14ac:dyDescent="0.3">
      <c r="A10">
        <v>1998</v>
      </c>
      <c r="B10" t="s">
        <v>7</v>
      </c>
      <c r="C10" t="s">
        <v>8</v>
      </c>
      <c r="D10" t="str">
        <f t="shared" si="0"/>
        <v>INSERT INTO results (winner,loser,round,score,tour,city,event,date,source,season,tmp_date) VALUES ('Karp, Adam','?',2,'','USA Mens Open','Houston, TX','1998 USA Racquetball National Singles Championships - Mens Open','5/31/1998','https://www.teamusa.org/USA-Racquetball/About/Record-Books/Singles-Champions/Open','1998','1998-05-31');</v>
      </c>
    </row>
    <row r="11" spans="1:4" x14ac:dyDescent="0.3">
      <c r="A11">
        <v>1997</v>
      </c>
      <c r="B11" t="s">
        <v>9</v>
      </c>
      <c r="C11" t="s">
        <v>10</v>
      </c>
      <c r="D11" t="str">
        <f t="shared" si="0"/>
        <v>INSERT INTO results (winner,loser,round,score,tour,city,event,date,source,season,tmp_date) VALUES ('Obremski, Dan','?',2,'','USA Mens Open','Houston, TX','1997 USA Racquetball National Singles Championships - Mens Open','5/31/1997','https://www.teamusa.org/USA-Racquetball/About/Record-Books/Singles-Champions/Open','1997','1997-05-31');</v>
      </c>
    </row>
    <row r="12" spans="1:4" x14ac:dyDescent="0.3">
      <c r="A12">
        <v>1996</v>
      </c>
      <c r="B12" t="s">
        <v>11</v>
      </c>
      <c r="C12" t="s">
        <v>12</v>
      </c>
      <c r="D12" t="str">
        <f t="shared" si="0"/>
        <v>INSERT INTO results (winner,loser,round,score,tour,city,event,date,source,season,tmp_date) VALUES ('Gonzalez, Ruben','?',2,'','USA Mens Open','Houston, TX','1996 USA Racquetball National Singles Championships - Mens Open','5/31/1996','https://www.teamusa.org/USA-Racquetball/About/Record-Books/Singles-Champions/Open','1996','1996-05-31');</v>
      </c>
    </row>
    <row r="13" spans="1:4" x14ac:dyDescent="0.3">
      <c r="A13">
        <v>1995</v>
      </c>
      <c r="B13" t="s">
        <v>13</v>
      </c>
      <c r="C13" t="s">
        <v>14</v>
      </c>
      <c r="D13" t="str">
        <f t="shared" si="0"/>
        <v>INSERT INTO results (winner,loser,round,score,tour,city,event,date,source,season,tmp_date) VALUES ('Bronfeld, Michael','?',2,'','USA Mens Open','Houston, TX','1995 USA Racquetball National Singles Championships - Mens Open','5/31/1995','https://www.teamusa.org/USA-Racquetball/About/Record-Books/Singles-Champions/Open','1995','1995-05-31');</v>
      </c>
    </row>
    <row r="14" spans="1:4" x14ac:dyDescent="0.3">
      <c r="A14">
        <v>1994</v>
      </c>
      <c r="B14" t="s">
        <v>13</v>
      </c>
      <c r="C14" t="s">
        <v>14</v>
      </c>
      <c r="D14" t="str">
        <f t="shared" si="0"/>
        <v>INSERT INTO results (winner,loser,round,score,tour,city,event,date,source,season,tmp_date) VALUES ('Bronfeld, Michael','?',2,'','USA Mens Open','Houston, TX','1994 USA Racquetball National Singles Championships - Mens Open','5/31/1994','https://www.teamusa.org/USA-Racquetball/About/Record-Books/Singles-Champions/Open','1994','1994-05-31');</v>
      </c>
    </row>
    <row r="15" spans="1:4" x14ac:dyDescent="0.3">
      <c r="A15">
        <v>1993</v>
      </c>
      <c r="B15" t="s">
        <v>15</v>
      </c>
      <c r="C15" t="s">
        <v>16</v>
      </c>
      <c r="D15" t="str">
        <f t="shared" si="0"/>
        <v>INSERT INTO results (winner,loser,round,score,tour,city,event,date,source,season,tmp_date) VALUES ('Ellis, John','?',2,'','USA Mens Open','Houston, TX','1993 USA Racquetball National Singles Championships - Mens Open','5/31/1993','https://www.teamusa.org/USA-Racquetball/About/Record-Books/Singles-Champions/Open','1993','1993-05-31');</v>
      </c>
    </row>
    <row r="16" spans="1:4" x14ac:dyDescent="0.3">
      <c r="A16">
        <v>1992</v>
      </c>
      <c r="B16" t="s">
        <v>17</v>
      </c>
      <c r="C16" t="s">
        <v>18</v>
      </c>
      <c r="D16" t="str">
        <f t="shared" si="0"/>
        <v>INSERT INTO results (winner,loser,round,score,tour,city,event,date,source,season,tmp_date) VALUES ('Cole, Chris','?',2,'','USA Mens Open','Houston, TX','1992 USA Racquetball National Singles Championships - Mens Open','5/31/1992','https://www.teamusa.org/USA-Racquetball/About/Record-Books/Singles-Champions/Open','1992','1992-05-31');</v>
      </c>
    </row>
    <row r="17" spans="1:4" x14ac:dyDescent="0.3">
      <c r="A17">
        <v>1991</v>
      </c>
      <c r="B17" t="s">
        <v>19</v>
      </c>
      <c r="C17" t="s">
        <v>20</v>
      </c>
      <c r="D17" t="str">
        <f t="shared" si="0"/>
        <v>INSERT INTO results (winner,loser,round,score,tour,city,event,date,source,season,tmp_date) VALUES ('Sweeney, Tim','?',2,'','USA Mens Open','Houston, TX','1991 USA Racquetball National Singles Championships - Mens Open','5/31/1991','https://www.teamusa.org/USA-Racquetball/About/Record-Books/Singles-Champions/Open','1991','1991-05-31');</v>
      </c>
    </row>
    <row r="18" spans="1:4" x14ac:dyDescent="0.3">
      <c r="A18">
        <v>1990</v>
      </c>
      <c r="B18" t="s">
        <v>19</v>
      </c>
      <c r="C18" t="s">
        <v>21</v>
      </c>
      <c r="D18" t="str">
        <f t="shared" si="0"/>
        <v>INSERT INTO results (winner,loser,round,score,tour,city,event,date,source,season,tmp_date) VALUES ('Doyle, Tim','?',2,'','USA Mens Open','Houston, TX','1990 USA Racquetball National Singles Championships - Mens Open','5/31/1990','https://www.teamusa.org/USA-Racquetball/About/Record-Books/Singles-Champions/Open','1990','1990-05-31');</v>
      </c>
    </row>
    <row r="19" spans="1:4" x14ac:dyDescent="0.3">
      <c r="A19">
        <v>1989</v>
      </c>
      <c r="B19" t="s">
        <v>19</v>
      </c>
      <c r="C19" t="s">
        <v>21</v>
      </c>
      <c r="D19" t="str">
        <f t="shared" si="0"/>
        <v>INSERT INTO results (winner,loser,round,score,tour,city,event,date,source,season,tmp_date) VALUES ('Doyle, Tim','?',2,'','USA Mens Open','Houston, TX','1989 USA Racquetball National Singles Championships - Mens Open','5/31/1989','https://www.teamusa.org/USA-Racquetball/About/Record-Books/Singles-Champions/Open','1989','1989-05-31');</v>
      </c>
    </row>
    <row r="20" spans="1:4" x14ac:dyDescent="0.3">
      <c r="A20">
        <v>1988</v>
      </c>
      <c r="B20" t="s">
        <v>22</v>
      </c>
      <c r="C20" t="s">
        <v>23</v>
      </c>
      <c r="D20" t="str">
        <f t="shared" si="0"/>
        <v>INSERT INTO results (winner,loser,round,score,tour,city,event,date,source,season,tmp_date) VALUES ('Roberts, Andy','?',2,'','USA Mens Open','Houston, TX','1988 USA Racquetball National Singles Championships - Mens Open','5/31/1988','https://www.teamusa.org/USA-Racquetball/About/Record-Books/Singles-Champions/Open','1988','1988-05-31');</v>
      </c>
    </row>
    <row r="21" spans="1:4" x14ac:dyDescent="0.3">
      <c r="A21">
        <v>1987</v>
      </c>
      <c r="B21" t="s">
        <v>24</v>
      </c>
      <c r="C21" t="s">
        <v>25</v>
      </c>
      <c r="D21" t="str">
        <f t="shared" si="0"/>
        <v>INSERT INTO results (winner,loser,round,score,tour,city,event,date,source,season,tmp_date) VALUES ('Cascio, Jim','?',2,'','USA Mens Open','Houston, TX','1987 USA Racquetball National Singles Championships - Mens Open','5/31/1987','https://www.teamusa.org/USA-Racquetball/About/Record-Books/Singles-Champions/Open','1987','1987-05-31');</v>
      </c>
    </row>
    <row r="22" spans="1:4" x14ac:dyDescent="0.3">
      <c r="A22">
        <v>1986</v>
      </c>
      <c r="B22" t="s">
        <v>26</v>
      </c>
      <c r="C22" t="s">
        <v>27</v>
      </c>
      <c r="D22" t="str">
        <f t="shared" si="0"/>
        <v>INSERT INTO results (winner,loser,round,score,tour,city,event,date,source,season,tmp_date) VALUES ('Andrews, Ed','?',2,'','USA Mens Open','Houston, TX','1986 USA Racquetball National Singles Championships - Mens Open','5/31/1986','https://www.teamusa.org/USA-Racquetball/About/Record-Books/Singles-Champions/Open','1986','1986-05-31');</v>
      </c>
    </row>
    <row r="23" spans="1:4" x14ac:dyDescent="0.3">
      <c r="A23">
        <v>1985</v>
      </c>
      <c r="B23" t="s">
        <v>26</v>
      </c>
      <c r="C23" t="s">
        <v>27</v>
      </c>
      <c r="D23" t="str">
        <f t="shared" si="0"/>
        <v>INSERT INTO results (winner,loser,round,score,tour,city,event,date,source,season,tmp_date) VALUES ('Andrews, Ed','?',2,'','USA Mens Open','Houston, TX','1985 USA Racquetball National Singles Championships - Mens Open','5/31/1985','https://www.teamusa.org/USA-Racquetball/About/Record-Books/Singles-Champions/Open','1985','1985-05-31');</v>
      </c>
    </row>
    <row r="24" spans="1:4" x14ac:dyDescent="0.3">
      <c r="A24">
        <v>1984</v>
      </c>
      <c r="B24" t="s">
        <v>9</v>
      </c>
      <c r="C24" t="s">
        <v>28</v>
      </c>
      <c r="D24" t="str">
        <f t="shared" si="0"/>
        <v>INSERT INTO results (winner,loser,round,score,tour,city,event,date,source,season,tmp_date) VALUES ('Ferris, Dan','?',2,'','USA Mens Open','Houston, TX','1984 USA Racquetball National Singles Championships - Mens Open','5/31/1984','https://www.teamusa.org/USA-Racquetball/About/Record-Books/Singles-Champions/Open','1984','1984-05-31');</v>
      </c>
    </row>
    <row r="25" spans="1:4" x14ac:dyDescent="0.3">
      <c r="A25">
        <v>1983</v>
      </c>
      <c r="B25" t="s">
        <v>9</v>
      </c>
      <c r="C25" t="s">
        <v>28</v>
      </c>
      <c r="D25" t="str">
        <f t="shared" si="0"/>
        <v>INSERT INTO results (winner,loser,round,score,tour,city,event,date,source,season,tmp_date) VALUES ('Ferris, Dan','?',2,'','USA Mens Open','Houston, TX','1983 USA Racquetball National Singles Championships - Mens Open','5/31/1983','https://www.teamusa.org/USA-Racquetball/About/Record-Books/Singles-Champions/Open','1983','1983-05-31');</v>
      </c>
    </row>
    <row r="26" spans="1:4" x14ac:dyDescent="0.3">
      <c r="A26">
        <v>1982</v>
      </c>
      <c r="B26" t="s">
        <v>1</v>
      </c>
      <c r="C26" t="s">
        <v>29</v>
      </c>
      <c r="D26" t="str">
        <f t="shared" si="0"/>
        <v>INSERT INTO results (winner,loser,round,score,tour,city,event,date,source,season,tmp_date) VALUES ('Newman, Jack','?',2,'','USA Mens Open','Houston, TX','1982 USA Racquetball National Singles Championships - Mens Open','5/31/1982','https://www.teamusa.org/USA-Racquetball/About/Record-Books/Singles-Champions/Open','1982','1982-05-31');</v>
      </c>
    </row>
    <row r="27" spans="1:4" x14ac:dyDescent="0.3">
      <c r="A27">
        <v>1981</v>
      </c>
      <c r="B27" t="s">
        <v>26</v>
      </c>
      <c r="C27" t="s">
        <v>27</v>
      </c>
      <c r="D27" t="str">
        <f t="shared" si="0"/>
        <v>INSERT INTO results (winner,loser,round,score,tour,city,event,date,source,season,tmp_date) VALUES ('Andrews, Ed','?',2,'','USA Mens Open','Houston, TX','1981 USA Racquetball National Singles Championships - Mens Open','5/31/1981','https://www.teamusa.org/USA-Racquetball/About/Record-Books/Singles-Champions/Open','1981','1981-05-31');</v>
      </c>
    </row>
    <row r="28" spans="1:4" x14ac:dyDescent="0.3">
      <c r="A28">
        <v>1980</v>
      </c>
      <c r="B28" t="s">
        <v>26</v>
      </c>
      <c r="C28" t="s">
        <v>27</v>
      </c>
      <c r="D28" t="str">
        <f t="shared" si="0"/>
        <v>INSERT INTO results (winner,loser,round,score,tour,city,event,date,source,season,tmp_date) VALUES ('Andrews, Ed','?',2,'','USA Mens Open','Houston, TX','1980 USA Racquetball National Singles Championships - Mens Open','5/31/1980','https://www.teamusa.org/USA-Racquetball/About/Record-Books/Singles-Champions/Open','1980','1980-05-31');</v>
      </c>
    </row>
    <row r="29" spans="1:4" x14ac:dyDescent="0.3">
      <c r="A29">
        <v>1979</v>
      </c>
      <c r="B29" t="s">
        <v>15</v>
      </c>
      <c r="C29" t="s">
        <v>30</v>
      </c>
      <c r="D29" t="str">
        <f t="shared" si="0"/>
        <v>INSERT INTO results (winner,loser,round,score,tour,city,event,date,source,season,tmp_date) VALUES ('Egerman, John','?',2,'','USA Mens Open','Houston, TX','1979 USA Racquetball National Singles Championships - Mens Open','5/31/1979','https://www.teamusa.org/USA-Racquetball/About/Record-Books/Singles-Champions/Open','1979','1979-05-31');</v>
      </c>
    </row>
    <row r="30" spans="1:4" x14ac:dyDescent="0.3">
      <c r="A30">
        <v>1978</v>
      </c>
      <c r="B30" t="s">
        <v>31</v>
      </c>
      <c r="C30" t="s">
        <v>32</v>
      </c>
      <c r="D30" t="str">
        <f t="shared" si="0"/>
        <v>INSERT INTO results (winner,loser,round,score,tour,city,event,date,source,season,tmp_date) VALUES ('Meyers, Lindsey','?',2,'','USA Mens Open','Houston, TX','1978 USA Racquetball National Singles Championships - Mens Open','5/31/1978','https://www.teamusa.org/USA-Racquetball/About/Record-Books/Singles-Champions/Open','1978','1978-05-31');</v>
      </c>
    </row>
    <row r="31" spans="1:4" x14ac:dyDescent="0.3">
      <c r="A31">
        <v>1977</v>
      </c>
      <c r="B31" t="s">
        <v>33</v>
      </c>
      <c r="C31" t="s">
        <v>34</v>
      </c>
      <c r="D31" t="str">
        <f t="shared" si="0"/>
        <v>INSERT INTO results (winner,loser,round,score,tour,city,event,date,source,season,tmp_date) VALUES ('Zukerman, Jerry','?',2,'','USA Mens Open','Houston, TX','1977 USA Racquetball National Singles Championships - Mens Open','5/31/1977','https://www.teamusa.org/USA-Racquetball/About/Record-Books/Singles-Champions/Open','1977','1977-05-31');</v>
      </c>
    </row>
    <row r="32" spans="1:4" x14ac:dyDescent="0.3">
      <c r="A32">
        <v>1976</v>
      </c>
      <c r="B32" t="s">
        <v>35</v>
      </c>
      <c r="C32" t="s">
        <v>36</v>
      </c>
      <c r="D32" t="str">
        <f t="shared" si="0"/>
        <v>INSERT INTO results (winner,loser,round,score,tour,city,event,date,source,season,tmp_date) VALUES ('Wirkus, Joe','?',2,'','USA Mens Open','Houston, TX','1976 USA Racquetball National Singles Championships - Mens Open','5/31/1976','https://www.teamusa.org/USA-Racquetball/About/Record-Books/Singles-Champions/Open','1976','1976-05-31');</v>
      </c>
    </row>
    <row r="33" spans="1:4" x14ac:dyDescent="0.3">
      <c r="A33">
        <v>1975</v>
      </c>
      <c r="B33" t="s">
        <v>37</v>
      </c>
      <c r="C33" t="s">
        <v>38</v>
      </c>
      <c r="D33" t="str">
        <f t="shared" si="0"/>
        <v>INSERT INTO results (winner,loser,round,score,tour,city,event,date,source,season,tmp_date) VALUES ('Bowes, Wayne','?',2,'','USA Mens Open','Houston, TX','1975 USA Racquetball National Singles Championships - Mens Open','5/31/1975','https://www.teamusa.org/USA-Racquetball/About/Record-Books/Singles-Champions/Open','1975','1975-05-31');</v>
      </c>
    </row>
    <row r="34" spans="1:4" x14ac:dyDescent="0.3">
      <c r="A34">
        <v>1974</v>
      </c>
      <c r="B34" t="s">
        <v>39</v>
      </c>
      <c r="C34" t="s">
        <v>40</v>
      </c>
      <c r="D34" t="str">
        <f t="shared" si="0"/>
        <v>INSERT INTO results (winner,loser,round,score,tour,city,event,date,source,season,tmp_date) VALUES ('Schmidke, Bill','?',2,'','USA Mens Open','Houston, TX','1974 USA Racquetball National Singles Championships - Mens Open','5/31/1974','https://www.teamusa.org/USA-Racquetball/About/Record-Books/Singles-Champions/Open','1974','1974-05-31');</v>
      </c>
    </row>
    <row r="35" spans="1:4" x14ac:dyDescent="0.3">
      <c r="A35">
        <v>1973</v>
      </c>
      <c r="B35" t="s">
        <v>41</v>
      </c>
      <c r="C35" t="s">
        <v>42</v>
      </c>
      <c r="D35" t="str">
        <f t="shared" si="0"/>
        <v>INSERT INTO results (winner,loser,round,score,tour,city,event,date,source,season,tmp_date) VALUES ('Brumfield, Charles','?',2,'','USA Mens Open','Houston, TX','1973 USA Racquetball National Singles Championships - Mens Open','5/31/1973','https://www.teamusa.org/USA-Racquetball/About/Record-Books/Singles-Champions/Open','1973','1973-05-31');</v>
      </c>
    </row>
    <row r="36" spans="1:4" x14ac:dyDescent="0.3">
      <c r="A36">
        <v>1972</v>
      </c>
      <c r="B36" t="s">
        <v>41</v>
      </c>
      <c r="C36" t="s">
        <v>42</v>
      </c>
      <c r="D36" t="str">
        <f t="shared" si="0"/>
        <v>INSERT INTO results (winner,loser,round,score,tour,city,event,date,source,season,tmp_date) VALUES ('Brumfield, Charles','?',2,'','USA Mens Open','Houston, TX','1972 USA Racquetball National Singles Championships - Mens Open','5/31/1972','https://www.teamusa.org/USA-Racquetball/About/Record-Books/Singles-Champions/Open','1972','1972-05-31');</v>
      </c>
    </row>
    <row r="37" spans="1:4" x14ac:dyDescent="0.3">
      <c r="A37">
        <v>1971</v>
      </c>
      <c r="B37" t="s">
        <v>39</v>
      </c>
      <c r="C37" t="s">
        <v>40</v>
      </c>
      <c r="D37" t="str">
        <f t="shared" si="0"/>
        <v>INSERT INTO results (winner,loser,round,score,tour,city,event,date,source,season,tmp_date) VALUES ('Schmidke, Bill','?',2,'','USA Mens Open','Houston, TX','1971 USA Racquetball National Singles Championships - Mens Open','5/31/1971','https://www.teamusa.org/USA-Racquetball/About/Record-Books/Singles-Champions/Open','1971','1971-05-31');</v>
      </c>
    </row>
    <row r="38" spans="1:4" x14ac:dyDescent="0.3">
      <c r="A38">
        <v>1970</v>
      </c>
      <c r="B38" t="s">
        <v>43</v>
      </c>
      <c r="C38" t="s">
        <v>44</v>
      </c>
      <c r="D38" t="str">
        <f t="shared" si="0"/>
        <v>INSERT INTO results (winner,loser,round,score,tour,city,event,date,source,season,tmp_date) VALUES ('Finger, Craig','?',2,'','USA Mens Open','Houston, TX','1970 USA Racquetball National Singles Championships - Mens Open','5/31/1970','https://www.teamusa.org/USA-Racquetball/About/Record-Books/Singles-Champions/Open','1970','1970-05-31');</v>
      </c>
    </row>
    <row r="39" spans="1:4" x14ac:dyDescent="0.3">
      <c r="A39">
        <v>1969</v>
      </c>
      <c r="B39" t="s">
        <v>45</v>
      </c>
      <c r="C39" t="s">
        <v>46</v>
      </c>
      <c r="D39" t="str">
        <f t="shared" si="0"/>
        <v>INSERT INTO results (winner,loser,round,score,tour,city,event,date,source,season,tmp_date) VALUES ('Muehleisen, Bud','?',2,'','USA Mens Open','Houston, TX','1969 USA Racquetball National Singles Championships - Mens Open','5/31/1969','https://www.teamusa.org/USA-Racquetball/About/Record-Books/Singles-Champions/Open','1969','1969-05-31');</v>
      </c>
    </row>
    <row r="40" spans="1:4" x14ac:dyDescent="0.3">
      <c r="A40">
        <v>1968</v>
      </c>
      <c r="B40" t="s">
        <v>39</v>
      </c>
      <c r="C40" t="s">
        <v>47</v>
      </c>
      <c r="D40" t="str">
        <f t="shared" si="0"/>
        <v>INSERT INTO results (winner,loser,round,score,tour,city,event,date,source,season,tmp_date) VALUES ('Schultz, Bill','?',2,'','USA Mens Open','Houston, TX','1968 USA Racquetball National Singles Championships - Mens Open','5/31/1968','https://www.teamusa.org/USA-Racquetball/About/Record-Books/Singles-Champions/Open','1968','1968-05-31');</v>
      </c>
    </row>
    <row r="42" spans="1:4" x14ac:dyDescent="0.3">
      <c r="A42">
        <v>2005</v>
      </c>
      <c r="B42" t="s">
        <v>48</v>
      </c>
      <c r="C42" t="s">
        <v>49</v>
      </c>
      <c r="D42" t="str">
        <f>CONCATENATE("INSERT INTO results (winner,loser,round,score,tour,city,event,date,source,season,tmp_date) VALUES ('",C42,", ",B42,"','?',2,'','USA Womens Open','Houston, TX','",A42," USA Racquetball National Singles Championships - Womens Open','5/31/",A42,"','https://www.teamusa.org/USA-Racquetball/About/Record-Books/Singles-Champions/Open','",A42,"','",A42,"-05-31');")</f>
        <v>INSERT INTO results (winner,loser,round,score,tour,city,event,date,source,season,tmp_date) VALUES ('Gudinas, Cheryl','?',2,'','USA Womens Open','Houston, TX','2005 USA Racquetball National Singles Championships - Womens Open','5/31/2005','https://www.teamusa.org/USA-Racquetball/About/Record-Books/Singles-Champions/Open','2005','2005-05-31');</v>
      </c>
    </row>
    <row r="43" spans="1:4" x14ac:dyDescent="0.3">
      <c r="A43">
        <v>2004</v>
      </c>
      <c r="B43" t="s">
        <v>50</v>
      </c>
      <c r="C43" t="s">
        <v>51</v>
      </c>
      <c r="D43" t="str">
        <f t="shared" ref="D43:D77" si="1">CONCATENATE("INSERT INTO results (winner,loser,round,score,tour,city,event,date,source,season,tmp_date) VALUES ('",C43,", ",B43,"','?',2,'','USA Womens Open','Houston, TX','",A43," USA Racquetball National Singles Championships - Womens Open','5/31/",A43,"','https://www.teamusa.org/USA-Racquetball/About/Record-Books/Singles-Champions/Open','",A43,"','",A43,"-05-31');")</f>
        <v>INSERT INTO results (winner,loser,round,score,tour,city,event,date,source,season,tmp_date) VALUES ('Rajsich, Rhonda','?',2,'','USA Womens Open','Houston, TX','2004 USA Racquetball National Singles Championships - Womens Open','5/31/2004','https://www.teamusa.org/USA-Racquetball/About/Record-Books/Singles-Champions/Open','2004','2004-05-31');</v>
      </c>
    </row>
    <row r="44" spans="1:4" x14ac:dyDescent="0.3">
      <c r="A44">
        <v>2003</v>
      </c>
      <c r="B44" t="s">
        <v>48</v>
      </c>
      <c r="C44" t="s">
        <v>49</v>
      </c>
      <c r="D44" t="str">
        <f t="shared" si="1"/>
        <v>INSERT INTO results (winner,loser,round,score,tour,city,event,date,source,season,tmp_date) VALUES ('Gudinas, Cheryl','?',2,'','USA Womens Open','Houston, TX','2003 USA Racquetball National Singles Championships - Womens Open','5/31/2003','https://www.teamusa.org/USA-Racquetball/About/Record-Books/Singles-Champions/Open','2003','2003-05-31');</v>
      </c>
    </row>
    <row r="45" spans="1:4" x14ac:dyDescent="0.3">
      <c r="A45">
        <v>2002</v>
      </c>
      <c r="B45" t="s">
        <v>48</v>
      </c>
      <c r="C45" t="s">
        <v>49</v>
      </c>
      <c r="D45" t="str">
        <f t="shared" si="1"/>
        <v>INSERT INTO results (winner,loser,round,score,tour,city,event,date,source,season,tmp_date) VALUES ('Gudinas, Cheryl','?',2,'','USA Womens Open','Houston, TX','2002 USA Racquetball National Singles Championships - Womens Open','5/31/2002','https://www.teamusa.org/USA-Racquetball/About/Record-Books/Singles-Champions/Open','2002','2002-05-31');</v>
      </c>
    </row>
    <row r="46" spans="1:4" x14ac:dyDescent="0.3">
      <c r="A46">
        <v>2001</v>
      </c>
      <c r="B46" t="s">
        <v>48</v>
      </c>
      <c r="C46" t="s">
        <v>49</v>
      </c>
      <c r="D46" t="str">
        <f t="shared" si="1"/>
        <v>INSERT INTO results (winner,loser,round,score,tour,city,event,date,source,season,tmp_date) VALUES ('Gudinas, Cheryl','?',2,'','USA Womens Open','Houston, TX','2001 USA Racquetball National Singles Championships - Womens Open','5/31/2001','https://www.teamusa.org/USA-Racquetball/About/Record-Books/Singles-Champions/Open','2001','2001-05-31');</v>
      </c>
    </row>
    <row r="47" spans="1:4" x14ac:dyDescent="0.3">
      <c r="A47">
        <v>2000</v>
      </c>
      <c r="B47" t="s">
        <v>48</v>
      </c>
      <c r="C47" t="s">
        <v>49</v>
      </c>
      <c r="D47" t="str">
        <f t="shared" si="1"/>
        <v>INSERT INTO results (winner,loser,round,score,tour,city,event,date,source,season,tmp_date) VALUES ('Gudinas, Cheryl','?',2,'','USA Womens Open','Houston, TX','2000 USA Racquetball National Singles Championships - Womens Open','5/31/2000','https://www.teamusa.org/USA-Racquetball/About/Record-Books/Singles-Champions/Open','2000','2000-05-31');</v>
      </c>
    </row>
    <row r="48" spans="1:4" x14ac:dyDescent="0.3">
      <c r="A48">
        <v>1999</v>
      </c>
      <c r="B48" t="s">
        <v>48</v>
      </c>
      <c r="C48" t="s">
        <v>49</v>
      </c>
      <c r="D48" t="str">
        <f t="shared" si="1"/>
        <v>INSERT INTO results (winner,loser,round,score,tour,city,event,date,source,season,tmp_date) VALUES ('Gudinas, Cheryl','?',2,'','USA Womens Open','Houston, TX','1999 USA Racquetball National Singles Championships - Womens Open','5/31/1999','https://www.teamusa.org/USA-Racquetball/About/Record-Books/Singles-Champions/Open','1999','1999-05-31');</v>
      </c>
    </row>
    <row r="49" spans="1:4" x14ac:dyDescent="0.3">
      <c r="A49">
        <v>1998</v>
      </c>
      <c r="B49" t="s">
        <v>52</v>
      </c>
      <c r="C49" t="s">
        <v>53</v>
      </c>
      <c r="D49" t="str">
        <f t="shared" si="1"/>
        <v>INSERT INTO results (winner,loser,round,score,tour,city,event,date,source,season,tmp_date) VALUES ('Levine, Robin','?',2,'','USA Womens Open','Houston, TX','1998 USA Racquetball National Singles Championships - Womens Open','5/31/1998','https://www.teamusa.org/USA-Racquetball/About/Record-Books/Singles-Champions/Open','1998','1998-05-31');</v>
      </c>
    </row>
    <row r="50" spans="1:4" x14ac:dyDescent="0.3">
      <c r="A50">
        <v>1997</v>
      </c>
      <c r="B50" t="s">
        <v>54</v>
      </c>
      <c r="C50" t="s">
        <v>55</v>
      </c>
      <c r="D50" t="str">
        <f t="shared" si="1"/>
        <v>INSERT INTO results (winner,loser,round,score,tour,city,event,date,source,season,tmp_date) VALUES ('Gould, Michelle','?',2,'','USA Womens Open','Houston, TX','1997 USA Racquetball National Singles Championships - Womens Open','5/31/1997','https://www.teamusa.org/USA-Racquetball/About/Record-Books/Singles-Champions/Open','1997','1997-05-31');</v>
      </c>
    </row>
    <row r="51" spans="1:4" x14ac:dyDescent="0.3">
      <c r="A51">
        <v>1996</v>
      </c>
      <c r="B51" t="s">
        <v>54</v>
      </c>
      <c r="C51" t="s">
        <v>55</v>
      </c>
      <c r="D51" t="str">
        <f t="shared" si="1"/>
        <v>INSERT INTO results (winner,loser,round,score,tour,city,event,date,source,season,tmp_date) VALUES ('Gould, Michelle','?',2,'','USA Womens Open','Houston, TX','1996 USA Racquetball National Singles Championships - Womens Open','5/31/1996','https://www.teamusa.org/USA-Racquetball/About/Record-Books/Singles-Champions/Open','1996','1996-05-31');</v>
      </c>
    </row>
    <row r="52" spans="1:4" x14ac:dyDescent="0.3">
      <c r="A52">
        <v>1995</v>
      </c>
      <c r="B52" t="s">
        <v>54</v>
      </c>
      <c r="C52" t="s">
        <v>55</v>
      </c>
      <c r="D52" t="str">
        <f t="shared" si="1"/>
        <v>INSERT INTO results (winner,loser,round,score,tour,city,event,date,source,season,tmp_date) VALUES ('Gould, Michelle','?',2,'','USA Womens Open','Houston, TX','1995 USA Racquetball National Singles Championships - Womens Open','5/31/1995','https://www.teamusa.org/USA-Racquetball/About/Record-Books/Singles-Champions/Open','1995','1995-05-31');</v>
      </c>
    </row>
    <row r="53" spans="1:4" x14ac:dyDescent="0.3">
      <c r="A53">
        <v>1994</v>
      </c>
      <c r="B53" t="s">
        <v>52</v>
      </c>
      <c r="C53" t="s">
        <v>53</v>
      </c>
      <c r="D53" t="str">
        <f t="shared" si="1"/>
        <v>INSERT INTO results (winner,loser,round,score,tour,city,event,date,source,season,tmp_date) VALUES ('Levine, Robin','?',2,'','USA Womens Open','Houston, TX','1994 USA Racquetball National Singles Championships - Womens Open','5/31/1994','https://www.teamusa.org/USA-Racquetball/About/Record-Books/Singles-Champions/Open','1994','1994-05-31');</v>
      </c>
    </row>
    <row r="54" spans="1:4" x14ac:dyDescent="0.3">
      <c r="A54">
        <v>1993</v>
      </c>
      <c r="B54" t="s">
        <v>54</v>
      </c>
      <c r="C54" t="s">
        <v>55</v>
      </c>
      <c r="D54" t="str">
        <f t="shared" si="1"/>
        <v>INSERT INTO results (winner,loser,round,score,tour,city,event,date,source,season,tmp_date) VALUES ('Gould, Michelle','?',2,'','USA Womens Open','Houston, TX','1993 USA Racquetball National Singles Championships - Womens Open','5/31/1993','https://www.teamusa.org/USA-Racquetball/About/Record-Books/Singles-Champions/Open','1993','1993-05-31');</v>
      </c>
    </row>
    <row r="55" spans="1:4" x14ac:dyDescent="0.3">
      <c r="A55">
        <v>1992</v>
      </c>
      <c r="B55" t="s">
        <v>54</v>
      </c>
      <c r="C55" t="s">
        <v>55</v>
      </c>
      <c r="D55" t="str">
        <f t="shared" si="1"/>
        <v>INSERT INTO results (winner,loser,round,score,tour,city,event,date,source,season,tmp_date) VALUES ('Gould, Michelle','?',2,'','USA Womens Open','Houston, TX','1992 USA Racquetball National Singles Championships - Womens Open','5/31/1992','https://www.teamusa.org/USA-Racquetball/About/Record-Books/Singles-Champions/Open','1992','1992-05-31');</v>
      </c>
    </row>
    <row r="56" spans="1:4" x14ac:dyDescent="0.3">
      <c r="A56">
        <v>1991</v>
      </c>
      <c r="B56" t="s">
        <v>54</v>
      </c>
      <c r="C56" t="s">
        <v>56</v>
      </c>
      <c r="D56" t="str">
        <f t="shared" si="1"/>
        <v>INSERT INTO results (winner,loser,round,score,tour,city,event,date,source,season,tmp_date) VALUES ('Gilman, Michelle','?',2,'','USA Womens Open','Houston, TX','1991 USA Racquetball National Singles Championships - Womens Open','5/31/1991','https://www.teamusa.org/USA-Racquetball/About/Record-Books/Singles-Champions/Open','1991','1991-05-31');</v>
      </c>
    </row>
    <row r="57" spans="1:4" x14ac:dyDescent="0.3">
      <c r="A57">
        <v>1990</v>
      </c>
      <c r="B57" t="s">
        <v>54</v>
      </c>
      <c r="C57" t="s">
        <v>56</v>
      </c>
      <c r="D57" t="str">
        <f t="shared" si="1"/>
        <v>INSERT INTO results (winner,loser,round,score,tour,city,event,date,source,season,tmp_date) VALUES ('Gilman, Michelle','?',2,'','USA Womens Open','Houston, TX','1990 USA Racquetball National Singles Championships - Womens Open','5/31/1990','https://www.teamusa.org/USA-Racquetball/About/Record-Books/Singles-Champions/Open','1990','1990-05-31');</v>
      </c>
    </row>
    <row r="58" spans="1:4" x14ac:dyDescent="0.3">
      <c r="A58">
        <v>1989</v>
      </c>
      <c r="B58" t="s">
        <v>54</v>
      </c>
      <c r="C58" t="s">
        <v>56</v>
      </c>
      <c r="D58" t="str">
        <f t="shared" si="1"/>
        <v>INSERT INTO results (winner,loser,round,score,tour,city,event,date,source,season,tmp_date) VALUES ('Gilman, Michelle','?',2,'','USA Womens Open','Houston, TX','1989 USA Racquetball National Singles Championships - Womens Open','5/31/1989','https://www.teamusa.org/USA-Racquetball/About/Record-Books/Singles-Champions/Open','1989','1989-05-31');</v>
      </c>
    </row>
    <row r="59" spans="1:4" x14ac:dyDescent="0.3">
      <c r="A59">
        <v>1988</v>
      </c>
      <c r="B59" t="s">
        <v>57</v>
      </c>
      <c r="C59" t="s">
        <v>58</v>
      </c>
      <c r="D59" t="str">
        <f t="shared" si="1"/>
        <v>INSERT INTO results (winner,loser,round,score,tour,city,event,date,source,season,tmp_date) VALUES ('Bevelock, Toni','?',2,'','USA Womens Open','Houston, TX','1988 USA Racquetball National Singles Championships - Womens Open','5/31/1988','https://www.teamusa.org/USA-Racquetball/About/Record-Books/Singles-Champions/Open','1988','1988-05-31');</v>
      </c>
    </row>
    <row r="60" spans="1:4" x14ac:dyDescent="0.3">
      <c r="A60">
        <v>1987</v>
      </c>
      <c r="B60" t="s">
        <v>59</v>
      </c>
      <c r="C60" t="s">
        <v>60</v>
      </c>
      <c r="D60" t="str">
        <f t="shared" si="1"/>
        <v>INSERT INTO results (winner,loser,round,score,tour,city,event,date,source,season,tmp_date) VALUES ('Green, Diane','?',2,'','USA Womens Open','Houston, TX','1987 USA Racquetball National Singles Championships - Womens Open','5/31/1987','https://www.teamusa.org/USA-Racquetball/About/Record-Books/Singles-Champions/Open','1987','1987-05-31');</v>
      </c>
    </row>
    <row r="61" spans="1:4" x14ac:dyDescent="0.3">
      <c r="A61">
        <v>1986</v>
      </c>
      <c r="B61" t="s">
        <v>61</v>
      </c>
      <c r="C61" t="s">
        <v>62</v>
      </c>
      <c r="D61" t="str">
        <f t="shared" si="1"/>
        <v>INSERT INTO results (winner,loser,round,score,tour,city,event,date,source,season,tmp_date) VALUES ('Baxter, Cindy','?',2,'','USA Womens Open','Houston, TX','1986 USA Racquetball National Singles Championships - Womens Open','5/31/1986','https://www.teamusa.org/USA-Racquetball/About/Record-Books/Singles-Champions/Open','1986','1986-05-31');</v>
      </c>
    </row>
    <row r="62" spans="1:4" x14ac:dyDescent="0.3">
      <c r="A62">
        <v>1985</v>
      </c>
      <c r="B62" t="s">
        <v>61</v>
      </c>
      <c r="C62" t="s">
        <v>62</v>
      </c>
      <c r="D62" t="str">
        <f t="shared" si="1"/>
        <v>INSERT INTO results (winner,loser,round,score,tour,city,event,date,source,season,tmp_date) VALUES ('Baxter, Cindy','?',2,'','USA Womens Open','Houston, TX','1985 USA Racquetball National Singles Championships - Womens Open','5/31/1985','https://www.teamusa.org/USA-Racquetball/About/Record-Books/Singles-Champions/Open','1985','1985-05-31');</v>
      </c>
    </row>
    <row r="63" spans="1:4" x14ac:dyDescent="0.3">
      <c r="A63">
        <v>1984</v>
      </c>
      <c r="B63" t="s">
        <v>63</v>
      </c>
      <c r="C63" t="s">
        <v>64</v>
      </c>
      <c r="D63" t="str">
        <f t="shared" si="1"/>
        <v>INSERT INTO results (winner,loser,round,score,tour,city,event,date,source,season,tmp_date) VALUES ('Drexler, Marci','?',2,'','USA Womens Open','Houston, TX','1984 USA Racquetball National Singles Championships - Womens Open','5/31/1984','https://www.teamusa.org/USA-Racquetball/About/Record-Books/Singles-Champions/Open','1984','1984-05-31');</v>
      </c>
    </row>
    <row r="64" spans="1:4" x14ac:dyDescent="0.3">
      <c r="A64">
        <v>1983</v>
      </c>
      <c r="B64" t="s">
        <v>61</v>
      </c>
      <c r="C64" t="s">
        <v>62</v>
      </c>
      <c r="D64" t="str">
        <f t="shared" si="1"/>
        <v>INSERT INTO results (winner,loser,round,score,tour,city,event,date,source,season,tmp_date) VALUES ('Baxter, Cindy','?',2,'','USA Womens Open','Houston, TX','1983 USA Racquetball National Singles Championships - Womens Open','5/31/1983','https://www.teamusa.org/USA-Racquetball/About/Record-Books/Singles-Champions/Open','1983','1983-05-31');</v>
      </c>
    </row>
    <row r="65" spans="1:4" x14ac:dyDescent="0.3">
      <c r="A65">
        <v>1982</v>
      </c>
      <c r="B65" t="s">
        <v>59</v>
      </c>
      <c r="C65" t="s">
        <v>65</v>
      </c>
      <c r="D65" t="str">
        <f t="shared" si="1"/>
        <v>INSERT INTO results (winner,loser,round,score,tour,city,event,date,source,season,tmp_date) VALUES ('Bullard, Diane','?',2,'','USA Womens Open','Houston, TX','1982 USA Racquetball National Singles Championships - Womens Open','5/31/1982','https://www.teamusa.org/USA-Racquetball/About/Record-Books/Singles-Champions/Open','1982','1982-05-31');</v>
      </c>
    </row>
    <row r="66" spans="1:4" x14ac:dyDescent="0.3">
      <c r="A66">
        <v>1981</v>
      </c>
      <c r="B66" t="s">
        <v>61</v>
      </c>
      <c r="C66" t="s">
        <v>62</v>
      </c>
      <c r="D66" t="str">
        <f t="shared" si="1"/>
        <v>INSERT INTO results (winner,loser,round,score,tour,city,event,date,source,season,tmp_date) VALUES ('Baxter, Cindy','?',2,'','USA Womens Open','Houston, TX','1981 USA Racquetball National Singles Championships - Womens Open','5/31/1981','https://www.teamusa.org/USA-Racquetball/About/Record-Books/Singles-Champions/Open','1981','1981-05-31');</v>
      </c>
    </row>
    <row r="67" spans="1:4" x14ac:dyDescent="0.3">
      <c r="A67">
        <v>1980</v>
      </c>
      <c r="B67" t="s">
        <v>66</v>
      </c>
      <c r="C67" t="s">
        <v>67</v>
      </c>
      <c r="D67" t="str">
        <f t="shared" si="1"/>
        <v>INSERT INTO results (winner,loser,round,score,tour,city,event,date,source,season,tmp_date) VALUES ('Frenck, Carol','?',2,'','USA Womens Open','Houston, TX','1980 USA Racquetball National Singles Championships - Womens Open','5/31/1980','https://www.teamusa.org/USA-Racquetball/About/Record-Books/Singles-Champions/Open','1980','1980-05-31');</v>
      </c>
    </row>
    <row r="68" spans="1:4" x14ac:dyDescent="0.3">
      <c r="A68">
        <v>1979</v>
      </c>
      <c r="B68" t="s">
        <v>68</v>
      </c>
      <c r="C68" t="s">
        <v>69</v>
      </c>
      <c r="D68" t="str">
        <f t="shared" si="1"/>
        <v>INSERT INTO results (winner,loser,round,score,tour,city,event,date,source,season,tmp_date) VALUES ('Ambler, Sheryl','?',2,'','USA Womens Open','Houston, TX','1979 USA Racquetball National Singles Championships - Womens Open','5/31/1979','https://www.teamusa.org/USA-Racquetball/About/Record-Books/Singles-Champions/Open','1979','1979-05-31');</v>
      </c>
    </row>
    <row r="69" spans="1:4" x14ac:dyDescent="0.3">
      <c r="A69">
        <v>1978</v>
      </c>
      <c r="B69" t="s">
        <v>70</v>
      </c>
      <c r="C69" t="s">
        <v>71</v>
      </c>
      <c r="D69" t="str">
        <f t="shared" si="1"/>
        <v>INSERT INTO results (winner,loser,round,score,tour,city,event,date,source,season,tmp_date) VALUES ('Weisbach, Hope','?',2,'','USA Womens Open','Houston, TX','1978 USA Racquetball National Singles Championships - Womens Open','5/31/1978','https://www.teamusa.org/USA-Racquetball/About/Record-Books/Singles-Champions/Open','1978','1978-05-31');</v>
      </c>
    </row>
    <row r="70" spans="1:4" x14ac:dyDescent="0.3">
      <c r="A70">
        <v>1977</v>
      </c>
      <c r="B70" t="s">
        <v>72</v>
      </c>
      <c r="C70" t="s">
        <v>73</v>
      </c>
      <c r="D70" t="str">
        <f t="shared" si="1"/>
        <v>INSERT INTO results (winner,loser,round,score,tour,city,event,date,source,season,tmp_date) VALUES ('Walton, Karin','?',2,'','USA Womens Open','Houston, TX','1977 USA Racquetball National Singles Championships - Womens Open','5/31/1977','https://www.teamusa.org/USA-Racquetball/About/Record-Books/Singles-Champions/Open','1977','1977-05-31');</v>
      </c>
    </row>
    <row r="71" spans="1:4" x14ac:dyDescent="0.3">
      <c r="A71">
        <v>1976</v>
      </c>
      <c r="B71" t="s">
        <v>74</v>
      </c>
      <c r="C71" t="s">
        <v>60</v>
      </c>
      <c r="D71" t="str">
        <f t="shared" si="1"/>
        <v>INSERT INTO results (winner,loser,round,score,tour,city,event,date,source,season,tmp_date) VALUES ('Green, Sarah','?',2,'','USA Womens Open','Houston, TX','1976 USA Racquetball National Singles Championships - Womens Open','5/31/1976','https://www.teamusa.org/USA-Racquetball/About/Record-Books/Singles-Champions/Open','1976','1976-05-31');</v>
      </c>
    </row>
    <row r="72" spans="1:4" x14ac:dyDescent="0.3">
      <c r="A72">
        <v>1975</v>
      </c>
      <c r="B72" t="s">
        <v>75</v>
      </c>
      <c r="C72" t="s">
        <v>76</v>
      </c>
      <c r="D72" t="str">
        <f t="shared" si="1"/>
        <v>INSERT INTO results (winner,loser,round,score,tour,city,event,date,source,season,tmp_date) VALUES ('Steding, Peggy','?',2,'','USA Womens Open','Houston, TX','1975 USA Racquetball National Singles Championships - Womens Open','5/31/1975','https://www.teamusa.org/USA-Racquetball/About/Record-Books/Singles-Champions/Open','1975','1975-05-31');</v>
      </c>
    </row>
    <row r="73" spans="1:4" x14ac:dyDescent="0.3">
      <c r="A73">
        <v>1974</v>
      </c>
      <c r="B73" t="s">
        <v>75</v>
      </c>
      <c r="C73" t="s">
        <v>76</v>
      </c>
      <c r="D73" t="str">
        <f t="shared" si="1"/>
        <v>INSERT INTO results (winner,loser,round,score,tour,city,event,date,source,season,tmp_date) VALUES ('Steding, Peggy','?',2,'','USA Womens Open','Houston, TX','1974 USA Racquetball National Singles Championships - Womens Open','5/31/1974','https://www.teamusa.org/USA-Racquetball/About/Record-Books/Singles-Champions/Open','1974','1974-05-31');</v>
      </c>
    </row>
    <row r="74" spans="1:4" x14ac:dyDescent="0.3">
      <c r="A74">
        <v>1973</v>
      </c>
      <c r="B74" t="s">
        <v>75</v>
      </c>
      <c r="C74" t="s">
        <v>76</v>
      </c>
      <c r="D74" t="str">
        <f t="shared" si="1"/>
        <v>INSERT INTO results (winner,loser,round,score,tour,city,event,date,source,season,tmp_date) VALUES ('Steding, Peggy','?',2,'','USA Womens Open','Houston, TX','1973 USA Racquetball National Singles Championships - Womens Open','5/31/1973','https://www.teamusa.org/USA-Racquetball/About/Record-Books/Singles-Champions/Open','1973','1973-05-31');</v>
      </c>
    </row>
    <row r="75" spans="1:4" x14ac:dyDescent="0.3">
      <c r="A75">
        <v>1972</v>
      </c>
      <c r="B75" t="s">
        <v>77</v>
      </c>
      <c r="C75" t="s">
        <v>78</v>
      </c>
      <c r="D75" t="str">
        <f t="shared" si="1"/>
        <v>INSERT INTO results (winner,loser,round,score,tour,city,event,date,source,season,tmp_date) VALUES ('Pasternak, Jan','?',2,'','USA Womens Open','Houston, TX','1972 USA Racquetball National Singles Championships - Womens Open','5/31/1972','https://www.teamusa.org/USA-Racquetball/About/Record-Books/Singles-Champions/Open','1972','1972-05-31');</v>
      </c>
    </row>
    <row r="76" spans="1:4" x14ac:dyDescent="0.3">
      <c r="A76">
        <v>1971</v>
      </c>
      <c r="B76" t="s">
        <v>77</v>
      </c>
      <c r="C76" t="s">
        <v>78</v>
      </c>
      <c r="D76" t="str">
        <f t="shared" si="1"/>
        <v>INSERT INTO results (winner,loser,round,score,tour,city,event,date,source,season,tmp_date) VALUES ('Pasternak, Jan','?',2,'','USA Womens Open','Houston, TX','1971 USA Racquetball National Singles Championships - Womens Open','5/31/1971','https://www.teamusa.org/USA-Racquetball/About/Record-Books/Singles-Champions/Open','1971','1971-05-31');</v>
      </c>
    </row>
    <row r="77" spans="1:4" x14ac:dyDescent="0.3">
      <c r="A77">
        <v>1970</v>
      </c>
      <c r="B77" t="s">
        <v>79</v>
      </c>
      <c r="C77" t="s">
        <v>80</v>
      </c>
      <c r="D77" t="str">
        <f t="shared" si="1"/>
        <v>INSERT INTO results (winner,loser,round,score,tour,city,event,date,source,season,tmp_date) VALUES ('Cohen, Fran','?',2,'','USA Womens Open','Houston, TX','1970 USA Racquetball National Singles Championships - Womens Open','5/31/1970','https://www.teamusa.org/USA-Racquetball/About/Record-Books/Singles-Champions/Open','1970','1970-05-31');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Views>
    <sheetView tabSelected="1" workbookViewId="0">
      <selection activeCell="D3" sqref="D3"/>
    </sheetView>
  </sheetViews>
  <sheetFormatPr defaultColWidth="34.44140625" defaultRowHeight="14.4" x14ac:dyDescent="0.3"/>
  <cols>
    <col min="1" max="1" width="8" bestFit="1" customWidth="1"/>
    <col min="2" max="2" width="9.6640625" bestFit="1" customWidth="1"/>
    <col min="3" max="3" width="11.77734375" bestFit="1" customWidth="1"/>
    <col min="4" max="4" width="29" bestFit="1" customWidth="1"/>
  </cols>
  <sheetData>
    <row r="1" spans="1:5" ht="17.399999999999999" x14ac:dyDescent="0.3">
      <c r="A1" s="1"/>
      <c r="B1" s="2"/>
      <c r="D1" t="s">
        <v>146</v>
      </c>
    </row>
    <row r="2" spans="1:5" ht="17.399999999999999" x14ac:dyDescent="0.3">
      <c r="A2" s="1"/>
      <c r="B2" s="3"/>
      <c r="D2" t="s">
        <v>147</v>
      </c>
    </row>
    <row r="3" spans="1:5" ht="17.399999999999999" x14ac:dyDescent="0.3">
      <c r="A3" s="1"/>
      <c r="B3" s="3"/>
    </row>
    <row r="4" spans="1:5" ht="17.399999999999999" x14ac:dyDescent="0.3">
      <c r="A4" s="1">
        <v>2017</v>
      </c>
      <c r="B4" t="s">
        <v>5</v>
      </c>
      <c r="C4" t="s">
        <v>60</v>
      </c>
      <c r="D4" t="s">
        <v>81</v>
      </c>
      <c r="E4" t="str">
        <f>CONCATENATE("INSERT INTO results (winner,loser,round,score,tour,city,event,date,source,season,tmp_date) VALUES ('",C4,", ",B4,"','?',2,'','Canada Mens Open','",D4,", CAN','",A4," Canada Racquetball National Singles Championships - Mens Open','5/31/",A4,"','http://www.racquetball.ca/articles.asp?articleID=1835&amp;zoneID=299','",A4,"','",A4,"-05-31');")</f>
        <v>INSERT INTO results (winner,loser,round,score,tour,city,event,date,source,season,tmp_date) VALUES ('Green, Mike','?',2,'','Canada Mens Open','Brossard, PQ, CAN','2017 Canada Racquetball National Singles Championships - Mens Open','5/31/2017','http://www.racquetball.ca/articles.asp?articleID=1835&amp;zoneID=299','2017','2017-05-31');</v>
      </c>
    </row>
    <row r="5" spans="1:5" ht="17.399999999999999" x14ac:dyDescent="0.3">
      <c r="A5" s="1">
        <v>2016</v>
      </c>
      <c r="B5" t="s">
        <v>5</v>
      </c>
      <c r="C5" t="s">
        <v>60</v>
      </c>
      <c r="D5" t="s">
        <v>82</v>
      </c>
      <c r="E5" t="str">
        <f t="shared" ref="E5:E46" si="0">CONCATENATE("INSERT INTO results (winner,loser,round,score,tour,city,event,date,source,season,tmp_date) VALUES ('",C5,", ",B5,"','?',2,'','Canada Mens Open','",D5,", CAN','",A5," Canada Racquetball National Singles Championships - Mens Open','5/31/",A5,"','http://www.racquetball.ca/articles.asp?articleID=1835&amp;zoneID=299','",A5,"','",A5,"-05-31');")</f>
        <v>INSERT INTO results (winner,loser,round,score,tour,city,event,date,source,season,tmp_date) VALUES ('Green, Mike','?',2,'','Canada Mens Open','Burlington, Ont., CAN','2016 Canada Racquetball National Singles Championships - Mens Open','5/31/2016','http://www.racquetball.ca/articles.asp?articleID=1835&amp;zoneID=299','2016','2016-05-31');</v>
      </c>
    </row>
    <row r="6" spans="1:5" ht="17.399999999999999" x14ac:dyDescent="0.3">
      <c r="A6" s="1">
        <v>2015</v>
      </c>
      <c r="B6" t="s">
        <v>106</v>
      </c>
      <c r="C6" t="s">
        <v>107</v>
      </c>
      <c r="D6" t="s">
        <v>83</v>
      </c>
      <c r="E6" t="str">
        <f t="shared" si="0"/>
        <v>INSERT INTO results (winner,loser,round,score,tour,city,event,date,source,season,tmp_date) VALUES ('Iwaasa, Coby','?',2,'','Canada Mens Open','Burnaby, B.C., CAN','2015 Canada Racquetball National Singles Championships - Mens Open','5/31/2015','http://www.racquetball.ca/articles.asp?articleID=1835&amp;zoneID=299','2015','2015-05-31');</v>
      </c>
    </row>
    <row r="7" spans="1:5" ht="17.399999999999999" x14ac:dyDescent="0.3">
      <c r="A7" s="1">
        <v>2014</v>
      </c>
      <c r="B7" t="s">
        <v>108</v>
      </c>
      <c r="C7" t="s">
        <v>109</v>
      </c>
      <c r="D7" t="s">
        <v>84</v>
      </c>
      <c r="E7" t="str">
        <f t="shared" si="0"/>
        <v>INSERT INTO results (winner,loser,round,score,tour,city,event,date,source,season,tmp_date) VALUES ('Gagnon, Vincent','?',2,'','Canada Mens Open','Brossard, Que, CAN','2014 Canada Racquetball National Singles Championships - Mens Open','5/31/2014','http://www.racquetball.ca/articles.asp?articleID=1835&amp;zoneID=299','2014','2014-05-31');</v>
      </c>
    </row>
    <row r="8" spans="1:5" ht="17.399999999999999" x14ac:dyDescent="0.3">
      <c r="A8" s="1">
        <v>2013</v>
      </c>
      <c r="B8" t="s">
        <v>5</v>
      </c>
      <c r="C8" t="s">
        <v>60</v>
      </c>
      <c r="D8" t="s">
        <v>85</v>
      </c>
      <c r="E8" t="str">
        <f t="shared" si="0"/>
        <v>INSERT INTO results (winner,loser,round,score,tour,city,event,date,source,season,tmp_date) VALUES ('Green, Mike','?',2,'','Canada Mens Open','Langley, B.C., CAN','2013 Canada Racquetball National Singles Championships - Mens Open','5/31/2013','http://www.racquetball.ca/articles.asp?articleID=1835&amp;zoneID=299','2013','2013-05-31');</v>
      </c>
    </row>
    <row r="9" spans="1:5" ht="17.399999999999999" x14ac:dyDescent="0.3">
      <c r="A9" s="1">
        <v>2012</v>
      </c>
      <c r="B9" t="s">
        <v>5</v>
      </c>
      <c r="C9" t="s">
        <v>60</v>
      </c>
      <c r="D9" t="s">
        <v>86</v>
      </c>
      <c r="E9" t="str">
        <f t="shared" si="0"/>
        <v>INSERT INTO results (winner,loser,round,score,tour,city,event,date,source,season,tmp_date) VALUES ('Green, Mike','?',2,'','Canada Mens Open','Brossard, Quebec, CAN','2012 Canada Racquetball National Singles Championships - Mens Open','5/31/2012','http://www.racquetball.ca/articles.asp?articleID=1835&amp;zoneID=299','2012','2012-05-31');</v>
      </c>
    </row>
    <row r="10" spans="1:5" ht="17.399999999999999" x14ac:dyDescent="0.3">
      <c r="A10" s="1">
        <v>2011</v>
      </c>
      <c r="B10" t="s">
        <v>5</v>
      </c>
      <c r="C10" t="s">
        <v>60</v>
      </c>
      <c r="D10" t="s">
        <v>87</v>
      </c>
      <c r="E10" t="str">
        <f t="shared" si="0"/>
        <v>INSERT INTO results (winner,loser,round,score,tour,city,event,date,source,season,tmp_date) VALUES ('Green, Mike','?',2,'','Canada Mens Open','Antigonish &amp; Port Hawkesbury, NS, CAN','2011 Canada Racquetball National Singles Championships - Mens Open','5/31/2011','http://www.racquetball.ca/articles.asp?articleID=1835&amp;zoneID=299','2011','2011-05-31');</v>
      </c>
    </row>
    <row r="11" spans="1:5" ht="17.399999999999999" x14ac:dyDescent="0.3">
      <c r="A11" s="1">
        <v>2010</v>
      </c>
      <c r="B11" t="s">
        <v>5</v>
      </c>
      <c r="C11" t="s">
        <v>60</v>
      </c>
      <c r="D11" t="s">
        <v>88</v>
      </c>
      <c r="E11" t="str">
        <f t="shared" si="0"/>
        <v>INSERT INTO results (winner,loser,round,score,tour,city,event,date,source,season,tmp_date) VALUES ('Green, Mike','?',2,'','Canada Mens Open','Burnaby, BC, CAN','2010 Canada Racquetball National Singles Championships - Mens Open','5/31/2010','http://www.racquetball.ca/articles.asp?articleID=1835&amp;zoneID=299','2010','2010-05-31');</v>
      </c>
    </row>
    <row r="12" spans="1:5" ht="17.399999999999999" x14ac:dyDescent="0.3">
      <c r="A12" s="1">
        <v>2009</v>
      </c>
      <c r="B12" t="s">
        <v>110</v>
      </c>
      <c r="C12" t="s">
        <v>111</v>
      </c>
      <c r="D12" t="s">
        <v>89</v>
      </c>
      <c r="E12" t="str">
        <f t="shared" si="0"/>
        <v>INSERT INTO results (winner,loser,round,score,tour,city,event,date,source,season,tmp_date) VALUES ('Odegard, Kris','?',2,'','Canada Mens Open','Edmonton, CAN','2009 Canada Racquetball National Singles Championships - Mens Open','5/31/2009','http://www.racquetball.ca/articles.asp?articleID=1835&amp;zoneID=299','2009','2009-05-31');</v>
      </c>
    </row>
    <row r="13" spans="1:5" ht="17.399999999999999" x14ac:dyDescent="0.3">
      <c r="A13" s="1">
        <v>2008</v>
      </c>
      <c r="B13" t="s">
        <v>5</v>
      </c>
      <c r="C13" t="s">
        <v>60</v>
      </c>
      <c r="D13" t="s">
        <v>90</v>
      </c>
      <c r="E13" t="str">
        <f t="shared" si="0"/>
        <v>INSERT INTO results (winner,loser,round,score,tour,city,event,date,source,season,tmp_date) VALUES ('Green, Mike','?',2,'','Canada Mens Open','Burlington, CAN','2008 Canada Racquetball National Singles Championships - Mens Open','5/31/2008','http://www.racquetball.ca/articles.asp?articleID=1835&amp;zoneID=299','2008','2008-05-31');</v>
      </c>
    </row>
    <row r="14" spans="1:5" ht="17.399999999999999" x14ac:dyDescent="0.3">
      <c r="A14" s="1">
        <v>2007</v>
      </c>
      <c r="B14" t="s">
        <v>110</v>
      </c>
      <c r="C14" t="s">
        <v>111</v>
      </c>
      <c r="D14" t="s">
        <v>91</v>
      </c>
      <c r="E14" t="str">
        <f t="shared" si="0"/>
        <v>INSERT INTO results (winner,loser,round,score,tour,city,event,date,source,season,tmp_date) VALUES ('Odegard, Kris','?',2,'','Canada Mens Open','Regina, CAN','2007 Canada Racquetball National Singles Championships - Mens Open','5/31/2007','http://www.racquetball.ca/articles.asp?articleID=1835&amp;zoneID=299','2007','2007-05-31');</v>
      </c>
    </row>
    <row r="15" spans="1:5" ht="17.399999999999999" x14ac:dyDescent="0.3">
      <c r="A15" s="1">
        <v>2006</v>
      </c>
      <c r="B15" t="s">
        <v>5</v>
      </c>
      <c r="C15" t="s">
        <v>60</v>
      </c>
      <c r="D15" t="s">
        <v>89</v>
      </c>
      <c r="E15" t="str">
        <f t="shared" si="0"/>
        <v>INSERT INTO results (winner,loser,round,score,tour,city,event,date,source,season,tmp_date) VALUES ('Green, Mike','?',2,'','Canada Mens Open','Edmonton, CAN','2006 Canada Racquetball National Singles Championships - Mens Open','5/31/2006','http://www.racquetball.ca/articles.asp?articleID=1835&amp;zoneID=299','2006','2006-05-31');</v>
      </c>
    </row>
    <row r="16" spans="1:5" ht="17.399999999999999" x14ac:dyDescent="0.3">
      <c r="A16" s="1">
        <v>2005</v>
      </c>
      <c r="B16" t="s">
        <v>112</v>
      </c>
      <c r="C16" t="s">
        <v>113</v>
      </c>
      <c r="D16" t="s">
        <v>91</v>
      </c>
      <c r="E16" t="str">
        <f t="shared" si="0"/>
        <v>INSERT INTO results (winner,loser,round,score,tour,city,event,date,source,season,tmp_date) VALUES ('Osborne, Corey','?',2,'','Canada Mens Open','Regina, CAN','2005 Canada Racquetball National Singles Championships - Mens Open','5/31/2005','http://www.racquetball.ca/articles.asp?articleID=1835&amp;zoneID=299','2005','2005-05-31');</v>
      </c>
    </row>
    <row r="17" spans="1:5" ht="17.399999999999999" x14ac:dyDescent="0.3">
      <c r="A17" s="1">
        <v>2004</v>
      </c>
      <c r="B17" t="s">
        <v>5</v>
      </c>
      <c r="C17" t="s">
        <v>60</v>
      </c>
      <c r="D17" t="s">
        <v>92</v>
      </c>
      <c r="E17" t="str">
        <f t="shared" si="0"/>
        <v>INSERT INTO results (winner,loser,round,score,tour,city,event,date,source,season,tmp_date) VALUES ('Green, Mike','?',2,'','Canada Mens Open','Burlington, ON, CAN','2004 Canada Racquetball National Singles Championships - Mens Open','5/31/2004','http://www.racquetball.ca/articles.asp?articleID=1835&amp;zoneID=299','2004','2004-05-31');</v>
      </c>
    </row>
    <row r="18" spans="1:5" ht="17.399999999999999" x14ac:dyDescent="0.3">
      <c r="A18" s="1">
        <v>2003</v>
      </c>
      <c r="B18" t="s">
        <v>5</v>
      </c>
      <c r="C18" t="s">
        <v>60</v>
      </c>
      <c r="D18" t="s">
        <v>93</v>
      </c>
      <c r="E18" t="str">
        <f t="shared" si="0"/>
        <v>INSERT INTO results (winner,loser,round,score,tour,city,event,date,source,season,tmp_date) VALUES ('Green, Mike','?',2,'','Canada Mens Open','Vancouver, CAN','2003 Canada Racquetball National Singles Championships - Mens Open','5/31/2003','http://www.racquetball.ca/articles.asp?articleID=1835&amp;zoneID=299','2003','2003-05-31');</v>
      </c>
    </row>
    <row r="19" spans="1:5" ht="17.399999999999999" x14ac:dyDescent="0.3">
      <c r="A19" s="1">
        <v>2002</v>
      </c>
      <c r="B19" t="s">
        <v>5</v>
      </c>
      <c r="C19" t="s">
        <v>60</v>
      </c>
      <c r="D19" t="s">
        <v>81</v>
      </c>
      <c r="E19" t="str">
        <f t="shared" si="0"/>
        <v>INSERT INTO results (winner,loser,round,score,tour,city,event,date,source,season,tmp_date) VALUES ('Green, Mike','?',2,'','Canada Mens Open','Brossard, PQ, CAN','2002 Canada Racquetball National Singles Championships - Mens Open','5/31/2002','http://www.racquetball.ca/articles.asp?articleID=1835&amp;zoneID=299','2002','2002-05-31');</v>
      </c>
    </row>
    <row r="20" spans="1:5" ht="17.399999999999999" x14ac:dyDescent="0.3">
      <c r="A20" s="1">
        <v>2001</v>
      </c>
      <c r="B20" t="s">
        <v>114</v>
      </c>
      <c r="C20" t="s">
        <v>115</v>
      </c>
      <c r="D20" t="s">
        <v>93</v>
      </c>
      <c r="E20" t="str">
        <f t="shared" si="0"/>
        <v>INSERT INTO results (winner,loser,round,score,tour,city,event,date,source,season,tmp_date) VALUES ('Waselenchuk, Kane','?',2,'','Canada Mens Open','Vancouver, CAN','2001 Canada Racquetball National Singles Championships - Mens Open','5/31/2001','http://www.racquetball.ca/articles.asp?articleID=1835&amp;zoneID=299','2001','2001-05-31');</v>
      </c>
    </row>
    <row r="21" spans="1:5" ht="17.399999999999999" x14ac:dyDescent="0.3">
      <c r="A21" s="1">
        <v>2000</v>
      </c>
      <c r="B21" t="s">
        <v>114</v>
      </c>
      <c r="C21" t="s">
        <v>115</v>
      </c>
      <c r="D21" t="s">
        <v>88</v>
      </c>
      <c r="E21" t="str">
        <f t="shared" si="0"/>
        <v>INSERT INTO results (winner,loser,round,score,tour,city,event,date,source,season,tmp_date) VALUES ('Waselenchuk, Kane','?',2,'','Canada Mens Open','Burnaby, BC, CAN','2000 Canada Racquetball National Singles Championships - Mens Open','5/31/2000','http://www.racquetball.ca/articles.asp?articleID=1835&amp;zoneID=299','2000','2000-05-31');</v>
      </c>
    </row>
    <row r="22" spans="1:5" ht="17.399999999999999" x14ac:dyDescent="0.3">
      <c r="A22" s="1">
        <v>1999</v>
      </c>
      <c r="B22" t="s">
        <v>114</v>
      </c>
      <c r="C22" t="s">
        <v>115</v>
      </c>
      <c r="D22" t="s">
        <v>94</v>
      </c>
      <c r="E22" t="str">
        <f t="shared" si="0"/>
        <v>INSERT INTO results (winner,loser,round,score,tour,city,event,date,source,season,tmp_date) VALUES ('Waselenchuk, Kane','?',2,'','Canada Mens Open','Oakville &amp; Burlington, ON, CAN','1999 Canada Racquetball National Singles Championships - Mens Open','5/31/1999','http://www.racquetball.ca/articles.asp?articleID=1835&amp;zoneID=299','1999','1999-05-31');</v>
      </c>
    </row>
    <row r="23" spans="1:5" ht="17.399999999999999" x14ac:dyDescent="0.3">
      <c r="A23" s="1">
        <v>1998</v>
      </c>
      <c r="B23" t="s">
        <v>116</v>
      </c>
      <c r="C23" t="s">
        <v>117</v>
      </c>
      <c r="D23" t="s">
        <v>88</v>
      </c>
      <c r="E23" t="str">
        <f t="shared" si="0"/>
        <v>INSERT INTO results (winner,loser,round,score,tour,city,event,date,source,season,tmp_date) VALUES ('Greenfeld, Sherman','?',2,'','Canada Mens Open','Burnaby, BC, CAN','1998 Canada Racquetball National Singles Championships - Mens Open','5/31/1998','http://www.racquetball.ca/articles.asp?articleID=1835&amp;zoneID=299','1998','1998-05-31');</v>
      </c>
    </row>
    <row r="24" spans="1:5" ht="17.399999999999999" x14ac:dyDescent="0.3">
      <c r="A24" s="1">
        <v>1997</v>
      </c>
      <c r="B24" t="s">
        <v>5</v>
      </c>
      <c r="C24" t="s">
        <v>118</v>
      </c>
      <c r="D24" t="s">
        <v>95</v>
      </c>
      <c r="E24" t="str">
        <f t="shared" si="0"/>
        <v>INSERT INTO results (winner,loser,round,score,tour,city,event,date,source,season,tmp_date) VALUES ('Ceresia, Mike','?',2,'','Canada Mens Open','Winnipeg, CAN','1997 Canada Racquetball National Singles Championships - Mens Open','5/31/1997','http://www.racquetball.ca/articles.asp?articleID=1835&amp;zoneID=299','1997','1997-05-31');</v>
      </c>
    </row>
    <row r="25" spans="1:5" ht="17.399999999999999" x14ac:dyDescent="0.3">
      <c r="A25" s="1">
        <v>1996</v>
      </c>
      <c r="B25" t="s">
        <v>116</v>
      </c>
      <c r="C25" t="s">
        <v>117</v>
      </c>
      <c r="D25" t="s">
        <v>96</v>
      </c>
      <c r="E25" t="str">
        <f t="shared" si="0"/>
        <v>INSERT INTO results (winner,loser,round,score,tour,city,event,date,source,season,tmp_date) VALUES ('Greenfeld, Sherman','?',2,'','Canada Mens Open','Montreal, CAN','1996 Canada Racquetball National Singles Championships - Mens Open','5/31/1996','http://www.racquetball.ca/articles.asp?articleID=1835&amp;zoneID=299','1996','1996-05-31');</v>
      </c>
    </row>
    <row r="26" spans="1:5" ht="17.399999999999999" x14ac:dyDescent="0.3">
      <c r="A26" s="1">
        <v>1995</v>
      </c>
      <c r="B26" t="s">
        <v>119</v>
      </c>
      <c r="C26" t="s">
        <v>117</v>
      </c>
      <c r="D26" t="s">
        <v>88</v>
      </c>
      <c r="E26" t="str">
        <f t="shared" si="0"/>
        <v>INSERT INTO results (winner,loser,round,score,tour,city,event,date,source,season,tmp_date) VALUES ('Greenfeld, Sheman','?',2,'','Canada Mens Open','Burnaby, BC, CAN','1995 Canada Racquetball National Singles Championships - Mens Open','5/31/1995','http://www.racquetball.ca/articles.asp?articleID=1835&amp;zoneID=299','1995','1995-05-31');</v>
      </c>
    </row>
    <row r="27" spans="1:5" ht="17.399999999999999" x14ac:dyDescent="0.3">
      <c r="A27" s="1">
        <v>1994</v>
      </c>
      <c r="B27" t="s">
        <v>116</v>
      </c>
      <c r="C27" t="s">
        <v>117</v>
      </c>
      <c r="D27" t="s">
        <v>97</v>
      </c>
      <c r="E27" t="str">
        <f t="shared" si="0"/>
        <v>INSERT INTO results (winner,loser,round,score,tour,city,event,date,source,season,tmp_date) VALUES ('Greenfeld, Sherman','?',2,'','Canada Mens Open','Toronto, CAN','1994 Canada Racquetball National Singles Championships - Mens Open','5/31/1994','http://www.racquetball.ca/articles.asp?articleID=1835&amp;zoneID=299','1994','1994-05-31');</v>
      </c>
    </row>
    <row r="28" spans="1:5" ht="17.399999999999999" x14ac:dyDescent="0.3">
      <c r="A28" s="1">
        <v>1993</v>
      </c>
      <c r="B28" t="s">
        <v>116</v>
      </c>
      <c r="C28" t="s">
        <v>117</v>
      </c>
      <c r="D28" t="s">
        <v>88</v>
      </c>
      <c r="E28" t="str">
        <f t="shared" si="0"/>
        <v>INSERT INTO results (winner,loser,round,score,tour,city,event,date,source,season,tmp_date) VALUES ('Greenfeld, Sherman','?',2,'','Canada Mens Open','Burnaby, BC, CAN','1993 Canada Racquetball National Singles Championships - Mens Open','5/31/1993','http://www.racquetball.ca/articles.asp?articleID=1835&amp;zoneID=299','1993','1993-05-31');</v>
      </c>
    </row>
    <row r="29" spans="1:5" ht="17.399999999999999" x14ac:dyDescent="0.3">
      <c r="A29" s="1">
        <v>1992</v>
      </c>
      <c r="B29" t="s">
        <v>5</v>
      </c>
      <c r="C29" t="s">
        <v>118</v>
      </c>
      <c r="D29" t="s">
        <v>98</v>
      </c>
      <c r="E29" t="str">
        <f t="shared" si="0"/>
        <v>INSERT INTO results (winner,loser,round,score,tour,city,event,date,source,season,tmp_date) VALUES ('Ceresia, Mike','?',2,'','Canada Mens Open','Windsor, ON, CAN','1992 Canada Racquetball National Singles Championships - Mens Open','5/31/1992','http://www.racquetball.ca/articles.asp?articleID=1835&amp;zoneID=299','1992','1992-05-31');</v>
      </c>
    </row>
    <row r="30" spans="1:5" ht="17.399999999999999" x14ac:dyDescent="0.3">
      <c r="A30" s="1">
        <v>1991</v>
      </c>
      <c r="B30" t="s">
        <v>116</v>
      </c>
      <c r="C30" t="s">
        <v>117</v>
      </c>
      <c r="D30" t="s">
        <v>88</v>
      </c>
      <c r="E30" t="str">
        <f t="shared" si="0"/>
        <v>INSERT INTO results (winner,loser,round,score,tour,city,event,date,source,season,tmp_date) VALUES ('Greenfeld, Sherman','?',2,'','Canada Mens Open','Burnaby, BC, CAN','1991 Canada Racquetball National Singles Championships - Mens Open','5/31/1991','http://www.racquetball.ca/articles.asp?articleID=1835&amp;zoneID=299','1991','1991-05-31');</v>
      </c>
    </row>
    <row r="31" spans="1:5" ht="17.399999999999999" x14ac:dyDescent="0.3">
      <c r="A31" s="1">
        <v>1990</v>
      </c>
      <c r="B31" t="s">
        <v>116</v>
      </c>
      <c r="C31" t="s">
        <v>117</v>
      </c>
      <c r="D31" t="s">
        <v>96</v>
      </c>
      <c r="E31" t="str">
        <f t="shared" si="0"/>
        <v>INSERT INTO results (winner,loser,round,score,tour,city,event,date,source,season,tmp_date) VALUES ('Greenfeld, Sherman','?',2,'','Canada Mens Open','Montreal, CAN','1990 Canada Racquetball National Singles Championships - Mens Open','5/31/1990','http://www.racquetball.ca/articles.asp?articleID=1835&amp;zoneID=299','1990','1990-05-31');</v>
      </c>
    </row>
    <row r="32" spans="1:5" ht="17.399999999999999" x14ac:dyDescent="0.3">
      <c r="A32" s="1">
        <v>1989</v>
      </c>
      <c r="B32" t="s">
        <v>120</v>
      </c>
      <c r="C32" t="s">
        <v>121</v>
      </c>
      <c r="D32" t="s">
        <v>97</v>
      </c>
      <c r="E32" t="str">
        <f t="shared" si="0"/>
        <v>INSERT INTO results (winner,loser,round,score,tour,city,event,date,source,season,tmp_date) VALUES ('Harripersad, Roger','?',2,'','Canada Mens Open','Toronto, CAN','1989 Canada Racquetball National Singles Championships - Mens Open','5/31/1989','http://www.racquetball.ca/articles.asp?articleID=1835&amp;zoneID=299','1989','1989-05-31');</v>
      </c>
    </row>
    <row r="33" spans="1:5" ht="17.399999999999999" x14ac:dyDescent="0.3">
      <c r="A33" s="1">
        <v>1988</v>
      </c>
      <c r="B33" t="s">
        <v>116</v>
      </c>
      <c r="C33" t="s">
        <v>117</v>
      </c>
      <c r="D33" t="s">
        <v>99</v>
      </c>
      <c r="E33" t="str">
        <f t="shared" si="0"/>
        <v>INSERT INTO results (winner,loser,round,score,tour,city,event,date,source,season,tmp_date) VALUES ('Greenfeld, Sherman','?',2,'','Canada Mens Open','Victoria, CAN','1988 Canada Racquetball National Singles Championships - Mens Open','5/31/1988','http://www.racquetball.ca/articles.asp?articleID=1835&amp;zoneID=299','1988','1988-05-31');</v>
      </c>
    </row>
    <row r="34" spans="1:5" ht="17.399999999999999" x14ac:dyDescent="0.3">
      <c r="A34" s="1">
        <v>1987</v>
      </c>
      <c r="B34" t="s">
        <v>116</v>
      </c>
      <c r="C34" t="s">
        <v>117</v>
      </c>
      <c r="D34" t="s">
        <v>89</v>
      </c>
      <c r="E34" t="str">
        <f t="shared" si="0"/>
        <v>INSERT INTO results (winner,loser,round,score,tour,city,event,date,source,season,tmp_date) VALUES ('Greenfeld, Sherman','?',2,'','Canada Mens Open','Edmonton, CAN','1987 Canada Racquetball National Singles Championships - Mens Open','5/31/1987','http://www.racquetball.ca/articles.asp?articleID=1835&amp;zoneID=299','1987','1987-05-31');</v>
      </c>
    </row>
    <row r="35" spans="1:5" ht="17.399999999999999" x14ac:dyDescent="0.3">
      <c r="A35" s="1">
        <v>1986</v>
      </c>
      <c r="B35" t="s">
        <v>116</v>
      </c>
      <c r="C35" t="s">
        <v>117</v>
      </c>
      <c r="D35" t="s">
        <v>100</v>
      </c>
      <c r="E35" t="str">
        <f t="shared" si="0"/>
        <v>INSERT INTO results (winner,loser,round,score,tour,city,event,date,source,season,tmp_date) VALUES ('Greenfeld, Sherman','?',2,'','Canada Mens Open','Etobicoke, ON, CAN','1986 Canada Racquetball National Singles Championships - Mens Open','5/31/1986','http://www.racquetball.ca/articles.asp?articleID=1835&amp;zoneID=299','1986','1986-05-31');</v>
      </c>
    </row>
    <row r="36" spans="1:5" ht="17.399999999999999" x14ac:dyDescent="0.3">
      <c r="A36" s="1">
        <v>1985</v>
      </c>
      <c r="B36" t="s">
        <v>120</v>
      </c>
      <c r="C36" t="s">
        <v>121</v>
      </c>
      <c r="D36" t="s">
        <v>101</v>
      </c>
      <c r="E36" t="str">
        <f t="shared" si="0"/>
        <v>INSERT INTO results (winner,loser,round,score,tour,city,event,date,source,season,tmp_date) VALUES ('Harripersad, Roger','?',2,'','Canada Mens Open','Kelowna, BC, CAN','1985 Canada Racquetball National Singles Championships - Mens Open','5/31/1985','http://www.racquetball.ca/articles.asp?articleID=1835&amp;zoneID=299','1985','1985-05-31');</v>
      </c>
    </row>
    <row r="37" spans="1:5" ht="17.399999999999999" x14ac:dyDescent="0.3">
      <c r="A37" s="1">
        <v>1984</v>
      </c>
      <c r="B37" t="s">
        <v>122</v>
      </c>
      <c r="C37" t="s">
        <v>123</v>
      </c>
      <c r="D37" t="s">
        <v>102</v>
      </c>
      <c r="E37" t="str">
        <f t="shared" si="0"/>
        <v>INSERT INTO results (winner,loser,round,score,tour,city,event,date,source,season,tmp_date) VALUES ('Myers, Lindsay','?',2,'','Canada Mens Open','Québec City, CAN','1984 Canada Racquetball National Singles Championships - Mens Open','5/31/1984','http://www.racquetball.ca/articles.asp?articleID=1835&amp;zoneID=299','1984','1984-05-31');</v>
      </c>
    </row>
    <row r="38" spans="1:5" ht="17.399999999999999" x14ac:dyDescent="0.3">
      <c r="A38" s="1">
        <v>1983</v>
      </c>
      <c r="B38" t="s">
        <v>124</v>
      </c>
      <c r="C38" t="s">
        <v>125</v>
      </c>
      <c r="D38" t="s">
        <v>97</v>
      </c>
      <c r="E38" t="str">
        <f t="shared" si="0"/>
        <v>INSERT INTO results (winner,loser,round,score,tour,city,event,date,source,season,tmp_date) VALUES ('Valin, Brian','?',2,'','Canada Mens Open','Toronto, CAN','1983 Canada Racquetball National Singles Championships - Mens Open','5/31/1983','http://www.racquetball.ca/articles.asp?articleID=1835&amp;zoneID=299','1983','1983-05-31');</v>
      </c>
    </row>
    <row r="39" spans="1:5" ht="17.399999999999999" x14ac:dyDescent="0.3">
      <c r="A39" s="1">
        <v>1982</v>
      </c>
      <c r="B39" t="s">
        <v>122</v>
      </c>
      <c r="C39" t="s">
        <v>123</v>
      </c>
      <c r="D39" t="s">
        <v>105</v>
      </c>
      <c r="E39" t="str">
        <f t="shared" si="0"/>
        <v>INSERT INTO results (winner,loser,round,score,tour,city,event,date,source,season,tmp_date) VALUES ('Myers, Lindsay','?',2,'','Canada Mens Open','?, CAN','1982 Canada Racquetball National Singles Championships - Mens Open','5/31/1982','http://www.racquetball.ca/articles.asp?articleID=1835&amp;zoneID=299','1982','1982-05-31');</v>
      </c>
    </row>
    <row r="40" spans="1:5" ht="17.399999999999999" x14ac:dyDescent="0.3">
      <c r="A40" s="1">
        <v>1981</v>
      </c>
      <c r="B40" t="s">
        <v>122</v>
      </c>
      <c r="C40" t="s">
        <v>123</v>
      </c>
      <c r="D40" t="s">
        <v>103</v>
      </c>
      <c r="E40" t="str">
        <f t="shared" si="0"/>
        <v>INSERT INTO results (winner,loser,round,score,tour,city,event,date,source,season,tmp_date) VALUES ('Myers, Lindsay','?',2,'','Canada Mens Open','Lethbridge, AB, CAN','1981 Canada Racquetball National Singles Championships - Mens Open','5/31/1981','http://www.racquetball.ca/articles.asp?articleID=1835&amp;zoneID=299','1981','1981-05-31');</v>
      </c>
    </row>
    <row r="41" spans="1:5" ht="17.399999999999999" x14ac:dyDescent="0.3">
      <c r="A41" s="1">
        <v>1980</v>
      </c>
      <c r="B41" t="s">
        <v>122</v>
      </c>
      <c r="C41" t="s">
        <v>123</v>
      </c>
      <c r="D41" t="s">
        <v>96</v>
      </c>
      <c r="E41" t="str">
        <f t="shared" si="0"/>
        <v>INSERT INTO results (winner,loser,round,score,tour,city,event,date,source,season,tmp_date) VALUES ('Myers, Lindsay','?',2,'','Canada Mens Open','Montreal, CAN','1980 Canada Racquetball National Singles Championships - Mens Open','5/31/1980','http://www.racquetball.ca/articles.asp?articleID=1835&amp;zoneID=299','1980','1980-05-31');</v>
      </c>
    </row>
    <row r="42" spans="1:5" ht="17.399999999999999" x14ac:dyDescent="0.3">
      <c r="A42" s="1">
        <v>1979</v>
      </c>
      <c r="B42" t="s">
        <v>122</v>
      </c>
      <c r="C42" t="s">
        <v>123</v>
      </c>
      <c r="D42" t="s">
        <v>104</v>
      </c>
      <c r="E42" t="str">
        <f t="shared" si="0"/>
        <v>INSERT INTO results (winner,loser,round,score,tour,city,event,date,source,season,tmp_date) VALUES ('Myers, Lindsay','?',2,'','Canada Mens Open','Halifax, CAN','1979 Canada Racquetball National Singles Championships - Mens Open','5/31/1979','http://www.racquetball.ca/articles.asp?articleID=1835&amp;zoneID=299','1979','1979-05-31');</v>
      </c>
    </row>
    <row r="43" spans="1:5" ht="17.399999999999999" x14ac:dyDescent="0.3">
      <c r="A43" s="1">
        <v>1978</v>
      </c>
      <c r="B43" t="s">
        <v>122</v>
      </c>
      <c r="C43" t="s">
        <v>123</v>
      </c>
      <c r="D43" t="s">
        <v>91</v>
      </c>
      <c r="E43" t="str">
        <f t="shared" si="0"/>
        <v>INSERT INTO results (winner,loser,round,score,tour,city,event,date,source,season,tmp_date) VALUES ('Myers, Lindsay','?',2,'','Canada Mens Open','Regina, CAN','1978 Canada Racquetball National Singles Championships - Mens Open','5/31/1978','http://www.racquetball.ca/articles.asp?articleID=1835&amp;zoneID=299','1978','1978-05-31');</v>
      </c>
    </row>
    <row r="44" spans="1:5" ht="17.399999999999999" x14ac:dyDescent="0.3">
      <c r="A44" s="1">
        <v>1977</v>
      </c>
      <c r="B44" t="s">
        <v>122</v>
      </c>
      <c r="C44" t="s">
        <v>123</v>
      </c>
      <c r="D44" t="s">
        <v>96</v>
      </c>
      <c r="E44" t="str">
        <f t="shared" si="0"/>
        <v>INSERT INTO results (winner,loser,round,score,tour,city,event,date,source,season,tmp_date) VALUES ('Myers, Lindsay','?',2,'','Canada Mens Open','Montreal, CAN','1977 Canada Racquetball National Singles Championships - Mens Open','5/31/1977','http://www.racquetball.ca/articles.asp?articleID=1835&amp;zoneID=299','1977','1977-05-31');</v>
      </c>
    </row>
    <row r="45" spans="1:5" ht="17.399999999999999" x14ac:dyDescent="0.3">
      <c r="A45" s="1">
        <v>1976</v>
      </c>
      <c r="B45" t="s">
        <v>37</v>
      </c>
      <c r="C45" t="s">
        <v>38</v>
      </c>
      <c r="D45" t="s">
        <v>93</v>
      </c>
      <c r="E45" t="str">
        <f t="shared" si="0"/>
        <v>INSERT INTO results (winner,loser,round,score,tour,city,event,date,source,season,tmp_date) VALUES ('Bowes, Wayne','?',2,'','Canada Mens Open','Vancouver, CAN','1976 Canada Racquetball National Singles Championships - Mens Open','5/31/1976','http://www.racquetball.ca/articles.asp?articleID=1835&amp;zoneID=299','1976','1976-05-31');</v>
      </c>
    </row>
    <row r="46" spans="1:5" ht="17.399999999999999" x14ac:dyDescent="0.3">
      <c r="A46" s="1">
        <v>1975</v>
      </c>
      <c r="B46" t="s">
        <v>37</v>
      </c>
      <c r="C46" t="s">
        <v>38</v>
      </c>
      <c r="D46" t="s">
        <v>95</v>
      </c>
      <c r="E46" t="str">
        <f t="shared" si="0"/>
        <v>INSERT INTO results (winner,loser,round,score,tour,city,event,date,source,season,tmp_date) VALUES ('Bowes, Wayne','?',2,'','Canada Mens Open','Winnipeg, CAN','1975 Canada Racquetball National Singles Championships - Mens Open','5/31/1975','http://www.racquetball.ca/articles.asp?articleID=1835&amp;zoneID=299','1975','1975-05-31');</v>
      </c>
    </row>
    <row r="49" spans="1:5" ht="17.399999999999999" x14ac:dyDescent="0.3">
      <c r="A49" s="1">
        <v>2017</v>
      </c>
      <c r="B49" t="s">
        <v>126</v>
      </c>
      <c r="C49" t="s">
        <v>127</v>
      </c>
      <c r="D49" t="s">
        <v>81</v>
      </c>
      <c r="E49" t="str">
        <f>CONCATENATE("INSERT INTO results (winner,loser,round,score,tour,city,event,date,source,season,tmp_date) VALUES ('",C49,", ",B49,"','?',2,'',' Womens Open','",D49,", CAN','",A49," Canada Racquetball National Singles Championships - Womens Open','5/31/",A49,"','http://www.racquetball.ca/articles.asp?articleID=1835&amp;zoneID=299','",A49,"','",A49,"-05-31');")</f>
        <v>INSERT INTO results (winner,loser,round,score,tour,city,event,date,source,season,tmp_date) VALUES ('Lambert, Frédérique','?',2,'',' Womens Open','Brossard, PQ, CAN','2017 Canada Racquetball National Singles Championships - Womens Open','5/31/2017','http://www.racquetball.ca/articles.asp?articleID=1835&amp;zoneID=299','2017','2017-05-31');</v>
      </c>
    </row>
    <row r="50" spans="1:5" ht="17.399999999999999" x14ac:dyDescent="0.3">
      <c r="A50" s="1">
        <v>2016</v>
      </c>
      <c r="B50" t="s">
        <v>129</v>
      </c>
      <c r="C50" t="s">
        <v>128</v>
      </c>
      <c r="D50" t="s">
        <v>82</v>
      </c>
      <c r="E50" t="str">
        <f t="shared" ref="E50:E91" si="1">CONCATENATE("INSERT INTO results (winner,loser,round,score,tour,city,event,date,source,season,tmp_date) VALUES ('",C50,", ",B50,"','?',2,'',' Womens Open','",D50,", CAN','",A50," Canada Racquetball National Singles Championships - Womens Open','5/31/",A50,"','http://www.racquetball.ca/articles.asp?articleID=1835&amp;zoneID=299','",A50,"','",A50,"-05-31');")</f>
        <v>INSERT INTO results (winner,loser,round,score,tour,city,event,date,source,season,tmp_date) VALUES ('Saunders, Jennifer','?',2,'',' Womens Open','Burlington, Ont., CAN','2016 Canada Racquetball National Singles Championships - Womens Open','5/31/2016','http://www.racquetball.ca/articles.asp?articleID=1835&amp;zoneID=299','2016','2016-05-31');</v>
      </c>
    </row>
    <row r="51" spans="1:5" ht="17.399999999999999" x14ac:dyDescent="0.3">
      <c r="A51" s="1">
        <v>2015</v>
      </c>
      <c r="B51" t="s">
        <v>126</v>
      </c>
      <c r="C51" t="s">
        <v>127</v>
      </c>
      <c r="D51" t="s">
        <v>83</v>
      </c>
      <c r="E51" t="str">
        <f t="shared" si="1"/>
        <v>INSERT INTO results (winner,loser,round,score,tour,city,event,date,source,season,tmp_date) VALUES ('Lambert, Frédérique','?',2,'',' Womens Open','Burnaby, B.C., CAN','2015 Canada Racquetball National Singles Championships - Womens Open','5/31/2015','http://www.racquetball.ca/articles.asp?articleID=1835&amp;zoneID=299','2015','2015-05-31');</v>
      </c>
    </row>
    <row r="52" spans="1:5" ht="17.399999999999999" x14ac:dyDescent="0.3">
      <c r="A52" s="1">
        <v>2014</v>
      </c>
      <c r="B52" t="s">
        <v>129</v>
      </c>
      <c r="C52" t="s">
        <v>128</v>
      </c>
      <c r="D52" t="s">
        <v>84</v>
      </c>
      <c r="E52" t="str">
        <f t="shared" si="1"/>
        <v>INSERT INTO results (winner,loser,round,score,tour,city,event,date,source,season,tmp_date) VALUES ('Saunders, Jennifer','?',2,'',' Womens Open','Brossard, Que, CAN','2014 Canada Racquetball National Singles Championships - Womens Open','5/31/2014','http://www.racquetball.ca/articles.asp?articleID=1835&amp;zoneID=299','2014','2014-05-31');</v>
      </c>
    </row>
    <row r="53" spans="1:5" ht="17.399999999999999" x14ac:dyDescent="0.3">
      <c r="A53" s="1">
        <v>2013</v>
      </c>
      <c r="B53" t="s">
        <v>129</v>
      </c>
      <c r="C53" t="s">
        <v>128</v>
      </c>
      <c r="D53" t="s">
        <v>85</v>
      </c>
      <c r="E53" t="str">
        <f t="shared" si="1"/>
        <v>INSERT INTO results (winner,loser,round,score,tour,city,event,date,source,season,tmp_date) VALUES ('Saunders, Jennifer','?',2,'',' Womens Open','Langley, B.C., CAN','2013 Canada Racquetball National Singles Championships - Womens Open','5/31/2013','http://www.racquetball.ca/articles.asp?articleID=1835&amp;zoneID=299','2013','2013-05-31');</v>
      </c>
    </row>
    <row r="54" spans="1:5" ht="17.399999999999999" x14ac:dyDescent="0.3">
      <c r="A54" s="1">
        <v>2012</v>
      </c>
      <c r="B54" t="s">
        <v>129</v>
      </c>
      <c r="C54" t="s">
        <v>128</v>
      </c>
      <c r="D54" t="s">
        <v>86</v>
      </c>
      <c r="E54" t="str">
        <f t="shared" si="1"/>
        <v>INSERT INTO results (winner,loser,round,score,tour,city,event,date,source,season,tmp_date) VALUES ('Saunders, Jennifer','?',2,'',' Womens Open','Brossard, Quebec, CAN','2012 Canada Racquetball National Singles Championships - Womens Open','5/31/2012','http://www.racquetball.ca/articles.asp?articleID=1835&amp;zoneID=299','2012','2012-05-31');</v>
      </c>
    </row>
    <row r="55" spans="1:5" ht="17.399999999999999" x14ac:dyDescent="0.3">
      <c r="A55" s="1">
        <v>2011</v>
      </c>
      <c r="B55" t="s">
        <v>129</v>
      </c>
      <c r="C55" t="s">
        <v>128</v>
      </c>
      <c r="D55" t="s">
        <v>87</v>
      </c>
      <c r="E55" t="str">
        <f t="shared" si="1"/>
        <v>INSERT INTO results (winner,loser,round,score,tour,city,event,date,source,season,tmp_date) VALUES ('Saunders, Jennifer','?',2,'',' Womens Open','Antigonish &amp; Port Hawkesbury, NS, CAN','2011 Canada Racquetball National Singles Championships - Womens Open','5/31/2011','http://www.racquetball.ca/articles.asp?articleID=1835&amp;zoneID=299','2011','2011-05-31');</v>
      </c>
    </row>
    <row r="56" spans="1:5" ht="17.399999999999999" x14ac:dyDescent="0.3">
      <c r="A56" s="1">
        <v>2010</v>
      </c>
      <c r="B56" t="s">
        <v>129</v>
      </c>
      <c r="C56" t="s">
        <v>128</v>
      </c>
      <c r="D56" t="s">
        <v>88</v>
      </c>
      <c r="E56" t="str">
        <f t="shared" si="1"/>
        <v>INSERT INTO results (winner,loser,round,score,tour,city,event,date,source,season,tmp_date) VALUES ('Saunders, Jennifer','?',2,'',' Womens Open','Burnaby, BC, CAN','2010 Canada Racquetball National Singles Championships - Womens Open','5/31/2010','http://www.racquetball.ca/articles.asp?articleID=1835&amp;zoneID=299','2010','2010-05-31');</v>
      </c>
    </row>
    <row r="57" spans="1:5" ht="17.399999999999999" x14ac:dyDescent="0.3">
      <c r="A57" s="1">
        <v>2009</v>
      </c>
      <c r="B57" t="s">
        <v>129</v>
      </c>
      <c r="C57" t="s">
        <v>128</v>
      </c>
      <c r="D57" t="s">
        <v>89</v>
      </c>
      <c r="E57" t="str">
        <f t="shared" si="1"/>
        <v>INSERT INTO results (winner,loser,round,score,tour,city,event,date,source,season,tmp_date) VALUES ('Saunders, Jennifer','?',2,'',' Womens Open','Edmonton, CAN','2009 Canada Racquetball National Singles Championships - Womens Open','5/31/2009','http://www.racquetball.ca/articles.asp?articleID=1835&amp;zoneID=299','2009','2009-05-31');</v>
      </c>
    </row>
    <row r="58" spans="1:5" ht="17.399999999999999" x14ac:dyDescent="0.3">
      <c r="A58" s="1">
        <v>2008</v>
      </c>
      <c r="B58" t="s">
        <v>130</v>
      </c>
      <c r="C58" t="s">
        <v>144</v>
      </c>
      <c r="D58" t="s">
        <v>90</v>
      </c>
      <c r="E58" t="str">
        <f t="shared" si="1"/>
        <v>INSERT INTO results (winner,loser,round,score,tour,city,event,date,source,season,tmp_date) VALUES ('Van Hees, Christie','?',2,'',' Womens Open','Burlington, CAN','2008 Canada Racquetball National Singles Championships - Womens Open','5/31/2008','http://www.racquetball.ca/articles.asp?articleID=1835&amp;zoneID=299','2008','2008-05-31');</v>
      </c>
    </row>
    <row r="59" spans="1:5" ht="17.399999999999999" x14ac:dyDescent="0.3">
      <c r="A59" s="1">
        <v>2007</v>
      </c>
      <c r="B59" t="s">
        <v>130</v>
      </c>
      <c r="C59" t="s">
        <v>144</v>
      </c>
      <c r="D59" t="s">
        <v>91</v>
      </c>
      <c r="E59" t="str">
        <f t="shared" si="1"/>
        <v>INSERT INTO results (winner,loser,round,score,tour,city,event,date,source,season,tmp_date) VALUES ('Van Hees, Christie','?',2,'',' Womens Open','Regina, CAN','2007 Canada Racquetball National Singles Championships - Womens Open','5/31/2007','http://www.racquetball.ca/articles.asp?articleID=1835&amp;zoneID=299','2007','2007-05-31');</v>
      </c>
    </row>
    <row r="60" spans="1:5" ht="17.399999999999999" x14ac:dyDescent="0.3">
      <c r="A60" s="1">
        <v>2006</v>
      </c>
      <c r="B60" t="s">
        <v>130</v>
      </c>
      <c r="C60" t="s">
        <v>144</v>
      </c>
      <c r="D60" t="s">
        <v>89</v>
      </c>
      <c r="E60" t="str">
        <f>CONCATENATE("INSERT INTO results (winner,loser,round,score,tour,city,event,date,source,season,tmp_date) VALUES ('",C60,", ",B60,"','?',2,'',' Womens Open','",D60,", CAN','",A60," Canada Racquetball National Singles Championships - Womens Open','5/31/",A60,"','http://www.racquetball.ca/articles.asp?articleID=1835&amp;zoneID=299','",A60,"','",A60,"-05-31');")</f>
        <v>INSERT INTO results (winner,loser,round,score,tour,city,event,date,source,season,tmp_date) VALUES ('Van Hees, Christie','?',2,'',' Womens Open','Edmonton, CAN','2006 Canada Racquetball National Singles Championships - Womens Open','5/31/2006','http://www.racquetball.ca/articles.asp?articleID=1835&amp;zoneID=299','2006','2006-05-31');</v>
      </c>
    </row>
    <row r="61" spans="1:5" ht="17.399999999999999" x14ac:dyDescent="0.3">
      <c r="A61" s="1">
        <v>2005</v>
      </c>
      <c r="B61" t="s">
        <v>129</v>
      </c>
      <c r="C61" t="s">
        <v>128</v>
      </c>
      <c r="D61" t="s">
        <v>91</v>
      </c>
      <c r="E61" t="str">
        <f t="shared" si="1"/>
        <v>INSERT INTO results (winner,loser,round,score,tour,city,event,date,source,season,tmp_date) VALUES ('Saunders, Jennifer','?',2,'',' Womens Open','Regina, CAN','2005 Canada Racquetball National Singles Championships - Womens Open','5/31/2005','http://www.racquetball.ca/articles.asp?articleID=1835&amp;zoneID=299','2005','2005-05-31');</v>
      </c>
    </row>
    <row r="62" spans="1:5" ht="17.399999999999999" x14ac:dyDescent="0.3">
      <c r="A62" s="1">
        <v>2004</v>
      </c>
      <c r="B62" t="s">
        <v>145</v>
      </c>
      <c r="C62" t="s">
        <v>131</v>
      </c>
      <c r="D62" t="s">
        <v>92</v>
      </c>
      <c r="E62" t="str">
        <f t="shared" si="1"/>
        <v>INSERT INTO results (winner,loser,round,score,tour,city,event,date,source,season,tmp_date) VALUES ('Powell, Lori-Jane','?',2,'',' Womens Open','Burlington, ON, CAN','2004 Canada Racquetball National Singles Championships - Womens Open','5/31/2004','http://www.racquetball.ca/articles.asp?articleID=1835&amp;zoneID=299','2004','2004-05-31');</v>
      </c>
    </row>
    <row r="63" spans="1:5" ht="17.399999999999999" x14ac:dyDescent="0.3">
      <c r="A63" s="1">
        <v>2003</v>
      </c>
      <c r="B63" t="s">
        <v>145</v>
      </c>
      <c r="C63" t="s">
        <v>131</v>
      </c>
      <c r="D63" t="s">
        <v>93</v>
      </c>
      <c r="E63" t="str">
        <f t="shared" si="1"/>
        <v>INSERT INTO results (winner,loser,round,score,tour,city,event,date,source,season,tmp_date) VALUES ('Powell, Lori-Jane','?',2,'',' Womens Open','Vancouver, CAN','2003 Canada Racquetball National Singles Championships - Womens Open','5/31/2003','http://www.racquetball.ca/articles.asp?articleID=1835&amp;zoneID=299','2003','2003-05-31');</v>
      </c>
    </row>
    <row r="64" spans="1:5" ht="17.399999999999999" x14ac:dyDescent="0.3">
      <c r="A64" s="1">
        <v>2002</v>
      </c>
      <c r="B64" t="s">
        <v>129</v>
      </c>
      <c r="C64" t="s">
        <v>128</v>
      </c>
      <c r="D64" t="s">
        <v>81</v>
      </c>
      <c r="E64" t="str">
        <f t="shared" si="1"/>
        <v>INSERT INTO results (winner,loser,round,score,tour,city,event,date,source,season,tmp_date) VALUES ('Saunders, Jennifer','?',2,'',' Womens Open','Brossard, PQ, CAN','2002 Canada Racquetball National Singles Championships - Womens Open','5/31/2002','http://www.racquetball.ca/articles.asp?articleID=1835&amp;zoneID=299','2002','2002-05-31');</v>
      </c>
    </row>
    <row r="65" spans="1:5" ht="17.399999999999999" x14ac:dyDescent="0.3">
      <c r="A65" s="1">
        <v>2001</v>
      </c>
      <c r="B65" t="s">
        <v>132</v>
      </c>
      <c r="C65" t="s">
        <v>133</v>
      </c>
      <c r="D65" t="s">
        <v>93</v>
      </c>
      <c r="E65" t="str">
        <f t="shared" si="1"/>
        <v>INSERT INTO results (winner,loser,round,score,tour,city,event,date,source,season,tmp_date) VALUES ('Grand'Maître, Josée','?',2,'',' Womens Open','Vancouver, CAN','2001 Canada Racquetball National Singles Championships - Womens Open','5/31/2001','http://www.racquetball.ca/articles.asp?articleID=1835&amp;zoneID=299','2001','2001-05-31');</v>
      </c>
    </row>
    <row r="66" spans="1:5" ht="17.399999999999999" x14ac:dyDescent="0.3">
      <c r="A66" s="1">
        <v>2000</v>
      </c>
      <c r="B66" t="s">
        <v>130</v>
      </c>
      <c r="C66" t="s">
        <v>144</v>
      </c>
      <c r="D66" t="s">
        <v>88</v>
      </c>
      <c r="E66" t="str">
        <f t="shared" si="1"/>
        <v>INSERT INTO results (winner,loser,round,score,tour,city,event,date,source,season,tmp_date) VALUES ('Van Hees, Christie','?',2,'',' Womens Open','Burnaby, BC, CAN','2000 Canada Racquetball National Singles Championships - Womens Open','5/31/2000','http://www.racquetball.ca/articles.asp?articleID=1835&amp;zoneID=299','2000','2000-05-31');</v>
      </c>
    </row>
    <row r="67" spans="1:5" ht="17.399999999999999" x14ac:dyDescent="0.3">
      <c r="A67" s="1">
        <v>1999</v>
      </c>
      <c r="B67" t="s">
        <v>132</v>
      </c>
      <c r="C67" t="s">
        <v>133</v>
      </c>
      <c r="D67" t="s">
        <v>94</v>
      </c>
      <c r="E67" t="str">
        <f t="shared" si="1"/>
        <v>INSERT INTO results (winner,loser,round,score,tour,city,event,date,source,season,tmp_date) VALUES ('Grand'Maître, Josée','?',2,'',' Womens Open','Oakville &amp; Burlington, ON, CAN','1999 Canada Racquetball National Singles Championships - Womens Open','5/31/1999','http://www.racquetball.ca/articles.asp?articleID=1835&amp;zoneID=299','1999','1999-05-31');</v>
      </c>
    </row>
    <row r="68" spans="1:5" ht="17.399999999999999" x14ac:dyDescent="0.3">
      <c r="A68" s="1">
        <v>1998</v>
      </c>
      <c r="B68" t="s">
        <v>130</v>
      </c>
      <c r="C68" t="s">
        <v>144</v>
      </c>
      <c r="D68" t="s">
        <v>88</v>
      </c>
      <c r="E68" t="str">
        <f t="shared" si="1"/>
        <v>INSERT INTO results (winner,loser,round,score,tour,city,event,date,source,season,tmp_date) VALUES ('Van Hees, Christie','?',2,'',' Womens Open','Burnaby, BC, CAN','1998 Canada Racquetball National Singles Championships - Womens Open','5/31/1998','http://www.racquetball.ca/articles.asp?articleID=1835&amp;zoneID=299','1998','1998-05-31');</v>
      </c>
    </row>
    <row r="69" spans="1:5" ht="17.399999999999999" x14ac:dyDescent="0.3">
      <c r="A69" s="1">
        <v>1997</v>
      </c>
      <c r="B69" t="s">
        <v>130</v>
      </c>
      <c r="C69" t="s">
        <v>144</v>
      </c>
      <c r="D69" t="s">
        <v>95</v>
      </c>
      <c r="E69" t="str">
        <f t="shared" si="1"/>
        <v>INSERT INTO results (winner,loser,round,score,tour,city,event,date,source,season,tmp_date) VALUES ('Van Hees, Christie','?',2,'',' Womens Open','Winnipeg, CAN','1997 Canada Racquetball National Singles Championships - Womens Open','5/31/1997','http://www.racquetball.ca/articles.asp?articleID=1835&amp;zoneID=299','1997','1997-05-31');</v>
      </c>
    </row>
    <row r="70" spans="1:5" ht="17.399999999999999" x14ac:dyDescent="0.3">
      <c r="A70" s="1">
        <v>1996</v>
      </c>
      <c r="B70" t="s">
        <v>132</v>
      </c>
      <c r="C70" t="s">
        <v>133</v>
      </c>
      <c r="D70" t="s">
        <v>96</v>
      </c>
      <c r="E70" t="str">
        <f t="shared" si="1"/>
        <v>INSERT INTO results (winner,loser,round,score,tour,city,event,date,source,season,tmp_date) VALUES ('Grand'Maître, Josée','?',2,'',' Womens Open','Montreal, CAN','1996 Canada Racquetball National Singles Championships - Womens Open','5/31/1996','http://www.racquetball.ca/articles.asp?articleID=1835&amp;zoneID=299','1996','1996-05-31');</v>
      </c>
    </row>
    <row r="71" spans="1:5" ht="17.399999999999999" x14ac:dyDescent="0.3">
      <c r="A71" s="1">
        <v>1995</v>
      </c>
      <c r="B71" t="s">
        <v>145</v>
      </c>
      <c r="C71" t="s">
        <v>131</v>
      </c>
      <c r="D71" t="s">
        <v>88</v>
      </c>
      <c r="E71" t="str">
        <f t="shared" si="1"/>
        <v>INSERT INTO results (winner,loser,round,score,tour,city,event,date,source,season,tmp_date) VALUES ('Powell, Lori-Jane','?',2,'',' Womens Open','Burnaby, BC, CAN','1995 Canada Racquetball National Singles Championships - Womens Open','5/31/1995','http://www.racquetball.ca/articles.asp?articleID=1835&amp;zoneID=299','1995','1995-05-31');</v>
      </c>
    </row>
    <row r="72" spans="1:5" ht="17.399999999999999" x14ac:dyDescent="0.3">
      <c r="A72" s="1">
        <v>1994</v>
      </c>
      <c r="B72" t="s">
        <v>66</v>
      </c>
      <c r="C72" t="s">
        <v>134</v>
      </c>
      <c r="D72" t="s">
        <v>97</v>
      </c>
      <c r="E72" t="str">
        <f t="shared" si="1"/>
        <v>INSERT INTO results (winner,loser,round,score,tour,city,event,date,source,season,tmp_date) VALUES ('McFetridge, Carol','?',2,'',' Womens Open','Toronto, CAN','1994 Canada Racquetball National Singles Championships - Womens Open','5/31/1994','http://www.racquetball.ca/articles.asp?articleID=1835&amp;zoneID=299','1994','1994-05-31');</v>
      </c>
    </row>
    <row r="73" spans="1:5" ht="17.399999999999999" x14ac:dyDescent="0.3">
      <c r="A73" s="1">
        <v>1993</v>
      </c>
      <c r="B73" t="s">
        <v>66</v>
      </c>
      <c r="C73" t="s">
        <v>134</v>
      </c>
      <c r="D73" t="s">
        <v>88</v>
      </c>
      <c r="E73" t="str">
        <f t="shared" si="1"/>
        <v>INSERT INTO results (winner,loser,round,score,tour,city,event,date,source,season,tmp_date) VALUES ('McFetridge, Carol','?',2,'',' Womens Open','Burnaby, BC, CAN','1993 Canada Racquetball National Singles Championships - Womens Open','5/31/1993','http://www.racquetball.ca/articles.asp?articleID=1835&amp;zoneID=299','1993','1993-05-31');</v>
      </c>
    </row>
    <row r="74" spans="1:5" ht="17.399999999999999" x14ac:dyDescent="0.3">
      <c r="A74" s="1">
        <v>1992</v>
      </c>
      <c r="B74" t="s">
        <v>135</v>
      </c>
      <c r="C74" t="s">
        <v>136</v>
      </c>
      <c r="D74" t="s">
        <v>98</v>
      </c>
      <c r="E74" t="str">
        <f t="shared" si="1"/>
        <v>INSERT INTO results (winner,loser,round,score,tour,city,event,date,source,season,tmp_date) VALUES ('Stupp, Heather','?',2,'',' Womens Open','Windsor, ON, CAN','1992 Canada Racquetball National Singles Championships - Womens Open','5/31/1992','http://www.racquetball.ca/articles.asp?articleID=1835&amp;zoneID=299','1992','1992-05-31');</v>
      </c>
    </row>
    <row r="75" spans="1:5" ht="17.399999999999999" x14ac:dyDescent="0.3">
      <c r="A75" s="1">
        <v>1991</v>
      </c>
      <c r="B75" t="s">
        <v>135</v>
      </c>
      <c r="C75" t="s">
        <v>136</v>
      </c>
      <c r="D75" t="s">
        <v>88</v>
      </c>
      <c r="E75" t="str">
        <f t="shared" si="1"/>
        <v>INSERT INTO results (winner,loser,round,score,tour,city,event,date,source,season,tmp_date) VALUES ('Stupp, Heather','?',2,'',' Womens Open','Burnaby, BC, CAN','1991 Canada Racquetball National Singles Championships - Womens Open','5/31/1991','http://www.racquetball.ca/articles.asp?articleID=1835&amp;zoneID=299','1991','1991-05-31');</v>
      </c>
    </row>
    <row r="76" spans="1:5" ht="17.399999999999999" x14ac:dyDescent="0.3">
      <c r="A76" s="1">
        <v>1990</v>
      </c>
      <c r="B76" t="s">
        <v>135</v>
      </c>
      <c r="C76" t="s">
        <v>136</v>
      </c>
      <c r="D76" t="s">
        <v>96</v>
      </c>
      <c r="E76" t="str">
        <f t="shared" si="1"/>
        <v>INSERT INTO results (winner,loser,round,score,tour,city,event,date,source,season,tmp_date) VALUES ('Stupp, Heather','?',2,'',' Womens Open','Montreal, CAN','1990 Canada Racquetball National Singles Championships - Womens Open','5/31/1990','http://www.racquetball.ca/articles.asp?articleID=1835&amp;zoneID=299','1990','1990-05-31');</v>
      </c>
    </row>
    <row r="77" spans="1:5" ht="17.399999999999999" x14ac:dyDescent="0.3">
      <c r="A77" s="1">
        <v>1989</v>
      </c>
      <c r="B77" t="s">
        <v>135</v>
      </c>
      <c r="C77" t="s">
        <v>136</v>
      </c>
      <c r="D77" t="s">
        <v>97</v>
      </c>
      <c r="E77" t="str">
        <f t="shared" si="1"/>
        <v>INSERT INTO results (winner,loser,round,score,tour,city,event,date,source,season,tmp_date) VALUES ('Stupp, Heather','?',2,'',' Womens Open','Toronto, CAN','1989 Canada Racquetball National Singles Championships - Womens Open','5/31/1989','http://www.racquetball.ca/articles.asp?articleID=1835&amp;zoneID=299','1989','1989-05-31');</v>
      </c>
    </row>
    <row r="78" spans="1:5" ht="17.399999999999999" x14ac:dyDescent="0.3">
      <c r="A78" s="1">
        <v>1988</v>
      </c>
      <c r="B78" t="s">
        <v>135</v>
      </c>
      <c r="C78" t="s">
        <v>136</v>
      </c>
      <c r="D78" t="s">
        <v>99</v>
      </c>
      <c r="E78" t="str">
        <f t="shared" si="1"/>
        <v>INSERT INTO results (winner,loser,round,score,tour,city,event,date,source,season,tmp_date) VALUES ('Stupp, Heather','?',2,'',' Womens Open','Victoria, CAN','1988 Canada Racquetball National Singles Championships - Womens Open','5/31/1988','http://www.racquetball.ca/articles.asp?articleID=1835&amp;zoneID=299','1988','1988-05-31');</v>
      </c>
    </row>
    <row r="79" spans="1:5" ht="17.399999999999999" x14ac:dyDescent="0.3">
      <c r="A79" s="1">
        <v>1987</v>
      </c>
      <c r="B79" t="s">
        <v>135</v>
      </c>
      <c r="C79" t="s">
        <v>136</v>
      </c>
      <c r="D79" t="s">
        <v>89</v>
      </c>
      <c r="E79" t="str">
        <f t="shared" si="1"/>
        <v>INSERT INTO results (winner,loser,round,score,tour,city,event,date,source,season,tmp_date) VALUES ('Stupp, Heather','?',2,'',' Womens Open','Edmonton, CAN','1987 Canada Racquetball National Singles Championships - Womens Open','5/31/1987','http://www.racquetball.ca/articles.asp?articleID=1835&amp;zoneID=299','1987','1987-05-31');</v>
      </c>
    </row>
    <row r="80" spans="1:5" ht="17.399999999999999" x14ac:dyDescent="0.3">
      <c r="A80" s="1">
        <v>1986</v>
      </c>
      <c r="B80" t="s">
        <v>137</v>
      </c>
      <c r="C80" t="s">
        <v>138</v>
      </c>
      <c r="D80" t="s">
        <v>100</v>
      </c>
      <c r="E80" t="str">
        <f t="shared" si="1"/>
        <v>INSERT INTO results (winner,loser,round,score,tour,city,event,date,source,season,tmp_date) VALUES ('Fried, Crystal','?',2,'',' Womens Open','Etobicoke, ON, CAN','1986 Canada Racquetball National Singles Championships - Womens Open','5/31/1986','http://www.racquetball.ca/articles.asp?articleID=1835&amp;zoneID=299','1986','1986-05-31');</v>
      </c>
    </row>
    <row r="81" spans="1:5" ht="17.399999999999999" x14ac:dyDescent="0.3">
      <c r="A81" s="1">
        <v>1985</v>
      </c>
      <c r="B81" t="s">
        <v>135</v>
      </c>
      <c r="C81" t="s">
        <v>139</v>
      </c>
      <c r="D81" t="s">
        <v>101</v>
      </c>
      <c r="E81" t="str">
        <f t="shared" si="1"/>
        <v>INSERT INTO results (winner,loser,round,score,tour,city,event,date,source,season,tmp_date) VALUES ('McKay, Heather','?',2,'',' Womens Open','Kelowna, BC, CAN','1985 Canada Racquetball National Singles Championships - Womens Open','5/31/1985','http://www.racquetball.ca/articles.asp?articleID=1835&amp;zoneID=299','1985','1985-05-31');</v>
      </c>
    </row>
    <row r="82" spans="1:5" ht="17.399999999999999" x14ac:dyDescent="0.3">
      <c r="A82" s="1">
        <v>1984</v>
      </c>
      <c r="B82" t="s">
        <v>135</v>
      </c>
      <c r="C82" t="s">
        <v>139</v>
      </c>
      <c r="D82" t="s">
        <v>102</v>
      </c>
      <c r="E82" t="str">
        <f t="shared" si="1"/>
        <v>INSERT INTO results (winner,loser,round,score,tour,city,event,date,source,season,tmp_date) VALUES ('McKay, Heather','?',2,'',' Womens Open','Québec City, CAN','1984 Canada Racquetball National Singles Championships - Womens Open','5/31/1984','http://www.racquetball.ca/articles.asp?articleID=1835&amp;zoneID=299','1984','1984-05-31');</v>
      </c>
    </row>
    <row r="83" spans="1:5" ht="17.399999999999999" x14ac:dyDescent="0.3">
      <c r="A83" s="1">
        <v>1983</v>
      </c>
      <c r="B83" t="s">
        <v>135</v>
      </c>
      <c r="C83" t="s">
        <v>139</v>
      </c>
      <c r="D83" t="s">
        <v>97</v>
      </c>
      <c r="E83" t="str">
        <f t="shared" si="1"/>
        <v>INSERT INTO results (winner,loser,round,score,tour,city,event,date,source,season,tmp_date) VALUES ('McKay, Heather','?',2,'',' Womens Open','Toronto, CAN','1983 Canada Racquetball National Singles Championships - Womens Open','5/31/1983','http://www.racquetball.ca/articles.asp?articleID=1835&amp;zoneID=299','1983','1983-05-31');</v>
      </c>
    </row>
    <row r="84" spans="1:5" ht="17.399999999999999" x14ac:dyDescent="0.3">
      <c r="A84" s="1">
        <v>1982</v>
      </c>
      <c r="B84" t="s">
        <v>135</v>
      </c>
      <c r="C84" t="s">
        <v>139</v>
      </c>
      <c r="D84" t="s">
        <v>105</v>
      </c>
      <c r="E84" t="str">
        <f t="shared" si="1"/>
        <v>INSERT INTO results (winner,loser,round,score,tour,city,event,date,source,season,tmp_date) VALUES ('McKay, Heather','?',2,'',' Womens Open','?, CAN','1982 Canada Racquetball National Singles Championships - Womens Open','5/31/1982','http://www.racquetball.ca/articles.asp?articleID=1835&amp;zoneID=299','1982','1982-05-31');</v>
      </c>
    </row>
    <row r="85" spans="1:5" ht="17.399999999999999" x14ac:dyDescent="0.3">
      <c r="A85" s="1">
        <v>1981</v>
      </c>
      <c r="B85" t="s">
        <v>135</v>
      </c>
      <c r="C85" t="s">
        <v>136</v>
      </c>
      <c r="D85" t="s">
        <v>103</v>
      </c>
      <c r="E85" t="str">
        <f t="shared" si="1"/>
        <v>INSERT INTO results (winner,loser,round,score,tour,city,event,date,source,season,tmp_date) VALUES ('Stupp, Heather','?',2,'',' Womens Open','Lethbridge, AB, CAN','1981 Canada Racquetball National Singles Championships - Womens Open','5/31/1981','http://www.racquetball.ca/articles.asp?articleID=1835&amp;zoneID=299','1981','1981-05-31');</v>
      </c>
    </row>
    <row r="86" spans="1:5" ht="17.399999999999999" x14ac:dyDescent="0.3">
      <c r="A86" s="1">
        <v>1980</v>
      </c>
      <c r="B86" t="s">
        <v>135</v>
      </c>
      <c r="C86" t="s">
        <v>139</v>
      </c>
      <c r="D86" t="s">
        <v>96</v>
      </c>
      <c r="E86" t="str">
        <f t="shared" si="1"/>
        <v>INSERT INTO results (winner,loser,round,score,tour,city,event,date,source,season,tmp_date) VALUES ('McKay, Heather','?',2,'',' Womens Open','Montreal, CAN','1980 Canada Racquetball National Singles Championships - Womens Open','5/31/1980','http://www.racquetball.ca/articles.asp?articleID=1835&amp;zoneID=299','1980','1980-05-31');</v>
      </c>
    </row>
    <row r="87" spans="1:5" ht="17.399999999999999" x14ac:dyDescent="0.3">
      <c r="A87" s="1">
        <v>1979</v>
      </c>
      <c r="B87" t="s">
        <v>140</v>
      </c>
      <c r="C87" t="s">
        <v>141</v>
      </c>
      <c r="D87" t="s">
        <v>104</v>
      </c>
      <c r="E87" t="str">
        <f t="shared" si="1"/>
        <v>INSERT INTO results (winner,loser,round,score,tour,city,event,date,source,season,tmp_date) VALUES ('Forcade, Linda','?',2,'',' Womens Open','Halifax, CAN','1979 Canada Racquetball National Singles Championships - Womens Open','5/31/1979','http://www.racquetball.ca/articles.asp?articleID=1835&amp;zoneID=299','1979','1979-05-31');</v>
      </c>
    </row>
    <row r="88" spans="1:5" ht="17.399999999999999" x14ac:dyDescent="0.3">
      <c r="A88" s="1">
        <v>1978</v>
      </c>
      <c r="B88" t="s">
        <v>140</v>
      </c>
      <c r="C88" t="s">
        <v>141</v>
      </c>
      <c r="D88" t="s">
        <v>91</v>
      </c>
      <c r="E88" t="str">
        <f t="shared" si="1"/>
        <v>INSERT INTO results (winner,loser,round,score,tour,city,event,date,source,season,tmp_date) VALUES ('Forcade, Linda','?',2,'',' Womens Open','Regina, CAN','1978 Canada Racquetball National Singles Championships - Womens Open','5/31/1978','http://www.racquetball.ca/articles.asp?articleID=1835&amp;zoneID=299','1978','1978-05-31');</v>
      </c>
    </row>
    <row r="89" spans="1:5" ht="17.399999999999999" x14ac:dyDescent="0.3">
      <c r="A89" s="1">
        <v>1977</v>
      </c>
      <c r="B89" t="s">
        <v>142</v>
      </c>
      <c r="C89" t="s">
        <v>143</v>
      </c>
      <c r="D89" t="s">
        <v>96</v>
      </c>
      <c r="E89" t="str">
        <f t="shared" si="1"/>
        <v>INSERT INTO results (winner,loser,round,score,tour,city,event,date,source,season,tmp_date) VALUES ('Parent, Monique','?',2,'',' Womens Open','Montreal, CAN','1977 Canada Racquetball National Singles Championships - Womens Open','5/31/1977','http://www.racquetball.ca/articles.asp?articleID=1835&amp;zoneID=299','1977','1977-05-31');</v>
      </c>
    </row>
    <row r="90" spans="1:5" ht="17.399999999999999" x14ac:dyDescent="0.3">
      <c r="A90" s="1">
        <v>1976</v>
      </c>
      <c r="B90" t="s">
        <v>140</v>
      </c>
      <c r="C90" t="s">
        <v>141</v>
      </c>
      <c r="D90" t="s">
        <v>93</v>
      </c>
      <c r="E90" t="str">
        <f t="shared" si="1"/>
        <v>INSERT INTO results (winner,loser,round,score,tour,city,event,date,source,season,tmp_date) VALUES ('Forcade, Linda','?',2,'',' Womens Open','Vancouver, CAN','1976 Canada Racquetball National Singles Championships - Womens Open','5/31/1976','http://www.racquetball.ca/articles.asp?articleID=1835&amp;zoneID=299','1976','1976-05-31');</v>
      </c>
    </row>
    <row r="91" spans="1:5" ht="17.399999999999999" x14ac:dyDescent="0.3">
      <c r="A91" s="1">
        <v>1975</v>
      </c>
      <c r="B91" t="s">
        <v>142</v>
      </c>
      <c r="C91" t="s">
        <v>143</v>
      </c>
      <c r="D91" t="s">
        <v>95</v>
      </c>
      <c r="E91" t="str">
        <f t="shared" si="1"/>
        <v>INSERT INTO results (winner,loser,round,score,tour,city,event,date,source,season,tmp_date) VALUES ('Parent, Monique','?',2,'',' Womens Open','Winnipeg, CAN','1975 Canada Racquetball National Singles Championships - Womens Open','5/31/1975','http://www.racquetball.ca/articles.asp?articleID=1835&amp;zoneID=299','1975','1975-05-31');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USA</vt:lpstr>
      <vt:lpstr>Canada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tboss</dc:creator>
  <cp:lastModifiedBy>build</cp:lastModifiedBy>
  <dcterms:created xsi:type="dcterms:W3CDTF">2017-11-18T12:32:07Z</dcterms:created>
  <dcterms:modified xsi:type="dcterms:W3CDTF">2017-11-21T14:34:57Z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18a7d1f8-9272-4133-90f0-57547c4c0258</vt:lpwstr>
  </property>
</Properties>
</file>